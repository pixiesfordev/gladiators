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1FE95C00-081E-4AA0-BC2F-13970E063DB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7" l="1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<sst xmlns="http://schemas.openxmlformats.org/spreadsheetml/2006/main" count="1039" uniqueCount="643">
  <si>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</si>
  <si>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</si>
  <si>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</si>
  <si>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</si>
  <si>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</si>
  <si>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</si>
  <si>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</si>
  <si>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</si>
  <si>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</si>
  <si>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</si>
  <si>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</si>
  <si>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</si>
  <si>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</si>
  <si>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</si>
  <si>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</si>
  <si>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</si>
  <si>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</si>
  <si>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</si>
  <si>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</si>
  <si>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</si>
  <si>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</si>
  <si>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</si>
  <si>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</si>
  <si>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</si>
  <si>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</si>
  <si>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</si>
  <si>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</si>
  <si>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</si>
  <si>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</si>
  <si>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</si>
  <si>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</si>
  <si>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</si>
  <si>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</si>
  <si>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</si>
  <si>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</si>
  <si>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</si>
  <si>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</si>
  <si>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</si>
  <si>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</si>
  <si>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</si>
  <si>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</si>
  <si>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</si>
  <si>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</si>
  <si>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</si>
  <si>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</si>
  <si>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</si>
  <si>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</si>
  <si>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</si>
  <si>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</si>
  <si>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</si>
  <si>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</si>
  <si>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</si>
  <si>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</si>
  <si>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</si>
  <si>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</si>
  <si>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</si>
  <si>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</si>
  <si>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</si>
  <si>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</si>
  <si>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</si>
  <si>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</si>
  <si>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</si>
  <si>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</si>
  <si>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</si>
  <si>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</si>
  <si>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</si>
  <si>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</si>
  <si>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</si>
  <si>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</si>
  <si>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</si>
  <si>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</si>
  <si>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</si>
  <si>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</si>
  <si>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</si>
  <si>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</si>
  <si>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</si>
  <si>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</si>
  <si>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</si>
  <si>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</si>
  <si>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</si>
  <si>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</si>
  <si>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</si>
  <si>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</si>
  <si>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</si>
  <si>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</si>
  <si>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</si>
  <si>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</si>
  <si>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</si>
  <si>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</si>
  <si>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</si>
  <si>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</si>
  <si>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</si>
  <si>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</si>
  <si>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</si>
  <si>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</si>
  <si>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</si>
  <si>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</si>
  <si>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</si>
  <si>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</si>
  <si>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</si>
  <si>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</si>
  <si>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</si>
  <si>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</si>
  <si>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</si>
  <si>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</si>
  <si>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</si>
  <si>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</si>
  <si>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</si>
  <si>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</si>
  <si>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</si>
  <si>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</si>
  <si>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</si>
  <si>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</si>
  <si>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</si>
  <si>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</si>
  <si>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</si>
  <si>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</si>
  <si>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</si>
  <si>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</si>
  <si>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</si>
  <si>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</si>
  <si>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</si>
  <si>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</si>
  <si>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</si>
  <si>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</si>
  <si>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</si>
  <si>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</si>
  <si>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</si>
  <si>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</si>
  <si>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</si>
  <si>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</si>
  <si>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</si>
  <si>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</si>
  <si>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</si>
  <si>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</si>
  <si>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</si>
  <si>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</si>
  <si>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</si>
  <si>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</si>
  <si>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</si>
  <si>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</si>
  <si>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</si>
  <si>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</si>
  <si>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</si>
  <si>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</si>
  <si>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</si>
  <si>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</si>
  <si>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</si>
  <si>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</si>
  <si>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</si>
  <si>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</si>
  <si>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</si>
  <si>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</si>
  <si>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</si>
  <si>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</si>
  <si>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</si>
  <si>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</si>
  <si>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</si>
  <si>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</si>
  <si>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</si>
  <si>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</si>
  <si>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</si>
  <si>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</si>
  <si>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</si>
  <si>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</si>
  <si>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</si>
  <si>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</si>
  <si>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</si>
  <si>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</si>
  <si>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</si>
  <si>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</si>
  <si>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</si>
  <si>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</si>
  <si>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</si>
  <si>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</si>
  <si>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</si>
  <si>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</si>
  <si>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</si>
  <si>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</si>
  <si>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</si>
  <si>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</si>
  <si>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</si>
  <si>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</si>
  <si>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</si>
  <si>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</si>
  <si>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</si>
  <si>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</si>
  <si>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</si>
  <si>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</si>
  <si>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</si>
  <si>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</si>
  <si>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</si>
  <si>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</si>
  <si>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</si>
  <si>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</si>
  <si>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</si>
  <si>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</si>
  <si>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</si>
  <si>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</si>
  <si>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</si>
  <si>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</si>
  <si>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</si>
  <si>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</si>
  <si>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</si>
  <si>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</si>
  <si>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</si>
  <si>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</si>
  <si>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</si>
  <si>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</si>
  <si>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</si>
  <si>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</si>
  <si>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</si>
  <si>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</si>
  <si>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</si>
  <si>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</si>
  <si>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</si>
  <si>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</si>
  <si>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</si>
  <si>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</si>
  <si>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</si>
  <si>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</si>
  <si>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</si>
  <si>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</si>
  <si>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</si>
  <si>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</si>
  <si>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</si>
  <si>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</si>
  <si>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</si>
  <si>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</si>
  <si>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</si>
  <si>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</si>
  <si>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</si>
  <si>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</si>
  <si>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</si>
  <si>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</si>
  <si>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</si>
  <si>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</si>
  <si>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</si>
  <si>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</si>
  <si>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</si>
  <si>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</si>
  <si>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</si>
  <si>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</si>
  <si>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</si>
  <si>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</si>
  <si>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</si>
  <si>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</si>
  <si>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</si>
  <si>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</si>
  <si>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</si>
  <si>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</si>
  <si>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</si>
  <si>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</si>
  <si>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</si>
  <si>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</si>
  <si>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</si>
  <si>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</si>
  <si>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</si>
  <si>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</si>
  <si>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</si>
  <si>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</si>
  <si>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</si>
  <si>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</si>
  <si>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</si>
  <si>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</si>
  <si>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</si>
  <si>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</si>
  <si>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</si>
  <si>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</si>
  <si>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</si>
  <si>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</si>
  <si>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</si>
  <si>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</si>
  <si>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</si>
  <si>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</si>
  <si>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</si>
  <si>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</si>
  <si>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</si>
  <si>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</si>
  <si>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</si>
  <si>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</si>
  <si>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</si>
  <si>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</si>
  <si>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</si>
  <si>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</si>
  <si>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</si>
  <si>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移動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</si>
  <si>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</si>
  <si>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</si>
  <si>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</si>
  <si>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</si>
  <si>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</si>
  <si>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</si>
  <si>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</si>
  <si>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</si>
  <si>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</si>
  <si>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</si>
  <si>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</si>
  <si>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</si>
  <si>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</si>
  <si>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</si>
  <si>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</si>
  <si>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</si>
  <si>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</si>
  <si>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</si>
  <si>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</si>
  <si>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</si>
  <si>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</si>
  <si>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</si>
  <si>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</si>
  <si>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</si>
  <si>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</si>
  <si>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</si>
  <si>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</si>
  <si>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</si>
  <si>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</si>
  <si>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</si>
  <si>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</si>
  <si>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</si>
  <si>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</si>
  <si>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</si>
  <si>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</si>
  <si>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</si>
  <si>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</si>
  <si>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</si>
  <si>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</si>
  <si>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</si>
  <si>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</si>
  <si>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</si>
  <si>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</si>
  <si>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</si>
  <si>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</si>
  <si>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</si>
  <si>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</si>
  <si>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</si>
  <si>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</si>
  <si>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</si>
  <si>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</si>
  <si>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</si>
  <si>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</si>
  <si>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</si>
  <si>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</si>
  <si>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</si>
  <si>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</si>
  <si>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</si>
  <si>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</si>
  <si>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</si>
  <si>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</si>
  <si>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</si>
  <si>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</si>
  <si>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</si>
  <si>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</si>
  <si>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</si>
  <si>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</si>
  <si>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</si>
  <si>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</si>
  <si>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</si>
  <si>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</si>
  <si>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</si>
  <si>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</si>
  <si>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</si>
  <si>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</si>
  <si>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</si>
  <si>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</si>
  <si>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</si>
  <si>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</si>
  <si>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</si>
  <si>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</si>
  <si>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</si>
  <si>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</si>
  <si>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</si>
  <si>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</si>
  <si>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</si>
  <si>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</si>
  <si>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</si>
  <si>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</si>
  <si>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</si>
  <si>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</si>
  <si>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</si>
  <si>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</si>
  <si>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</si>
  <si>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</si>
  <si>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</si>
  <si>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</si>
  <si>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</si>
  <si>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</si>
  <si>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</si>
  <si>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</si>
  <si>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</si>
  <si>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</si>
  <si>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</si>
  <si>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</si>
  <si>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</si>
  <si>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</si>
  <si>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</si>
  <si>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</si>
  <si>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</si>
  <si>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</si>
  <si>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</si>
  <si>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</si>
  <si>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</si>
  <si>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</si>
  <si>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</si>
  <si>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</si>
  <si>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</si>
  <si>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</si>
  <si>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</si>
  <si>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</si>
  <si>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</si>
  <si>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</si>
  <si>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</si>
  <si>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</si>
  <si>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</si>
  <si>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</si>
  <si>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</si>
  <si>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</si>
  <si>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</si>
  <si>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</si>
  <si>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</si>
  <si>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</si>
  <si>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</si>
  <si>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</si>
  <si>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</si>
  <si>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</si>
  <si>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</si>
  <si>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</si>
  <si>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</si>
  <si>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</si>
  <si>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</si>
  <si>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</si>
  <si>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</si>
  <si>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</si>
  <si>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</si>
  <si>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</si>
  <si>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</si>
  <si>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</si>
  <si>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</si>
  <si>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</si>
  <si>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</si>
  <si>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</si>
  <si>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</si>
  <si>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</si>
  <si>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</si>
  <si>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</si>
  <si>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</si>
  <si>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</si>
  <si>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</si>
  <si>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</si>
  <si>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</si>
  <si>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</si>
  <si>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</si>
  <si>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</si>
  <si>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</si>
  <si>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</si>
  <si>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</si>
  <si>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</si>
  <si>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</si>
  <si>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</si>
  <si>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</si>
  <si>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</si>
  <si>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</si>
  <si>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</si>
  <si>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</si>
  <si>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</si>
  <si>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</si>
  <si>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</si>
  <si>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</si>
  <si>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</si>
  <si>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</si>
  <si>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</si>
  <si>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</si>
  <si>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</si>
  <si>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</si>
  <si>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</si>
  <si>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</si>
  <si>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</si>
  <si>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</si>
  <si>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</si>
  <si>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</si>
  <si>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</si>
  <si>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</si>
  <si>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</si>
  <si>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</si>
  <si>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</si>
  <si>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</si>
  <si>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</si>
  <si>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</si>
  <si>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</si>
  <si>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</si>
  <si>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</si>
  <si>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</si>
  <si>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</si>
  <si>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</si>
  <si>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</si>
  <si>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</si>
  <si>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</si>
  <si>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</si>
  <si>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</si>
  <si>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</si>
  <si>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</si>
  <si>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</si>
  <si>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</si>
  <si>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</si>
  <si>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</si>
  <si>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</si>
  <si>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</si>
  <si>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</si>
  <si>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</si>
  <si>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</si>
  <si>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</si>
  <si>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</si>
  <si>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</si>
  <si>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</si>
  <si>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</si>
  <si>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</si>
  <si>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</si>
  <si>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</si>
  <si>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10106_1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</si>
  <si>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</si>
  <si>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</si>
  <si>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</si>
  <si>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</si>
  <si>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</si>
  <si>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</si>
  <si>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</si>
  <si>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</si>
  <si>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</si>
  <si>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</si>
  <si>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</si>
  <si>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</si>
  <si>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</si>
  <si>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</si>
  <si>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</si>
  <si>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</si>
  <si>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</si>
  <si>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</si>
  <si>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</si>
  <si>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</si>
  <si>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</si>
  <si>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</si>
  <si>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</si>
  <si>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</si>
  <si>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</si>
  <si>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</si>
  <si>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</si>
  <si>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</si>
  <si>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</si>
  <si>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</si>
  <si>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</si>
  <si>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</si>
  <si>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</si>
  <si>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</si>
  <si>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</si>
  <si>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</si>
  <si>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</si>
  <si>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</si>
  <si>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</si>
  <si>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</si>
  <si>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</si>
  <si>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</si>
  <si>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</si>
  <si>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</si>
  <si>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</si>
  <si>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</si>
  <si>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</si>
  <si>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</si>
  <si>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</si>
  <si>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</si>
  <si>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</si>
  <si>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</si>
  <si>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</si>
  <si>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</si>
  <si>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</si>
  <si>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</si>
  <si>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</si>
  <si>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</si>
  <si>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</si>
  <si>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</si>
  <si>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</si>
  <si>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</si>
  <si>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</si>
  <si>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</si>
  <si>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</si>
  <si>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</si>
  <si>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</si>
  <si>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</si>
  <si>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</si>
  <si>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</si>
  <si>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</si>
  <si>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</si>
  <si>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</si>
  <si>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</si>
  <si>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</si>
  <si>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</si>
  <si>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</si>
  <si>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</si>
  <si>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</si>
  <si>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</si>
  <si>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</si>
  <si>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</si>
  <si>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</si>
  <si>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</si>
  <si>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</si>
  <si>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</si>
  <si>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</si>
  <si>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</si>
  <si>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</si>
  <si>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</si>
  <si>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</si>
  <si>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</si>
  <si>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</si>
  <si>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</si>
  <si>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Activation(s)</t>
  </si>
  <si>
    <t>Initiative(n)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</si>
  <si>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</si>
  <si>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</si>
  <si>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</si>
  <si>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</si>
  <si>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</si>
  <si>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</si>
  <si>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</si>
  <si>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</si>
  <si>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</si>
  <si>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</si>
  <si>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</si>
  <si>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</si>
  <si>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Condition_SkillVigorBelow</t>
  </si>
  <si>
    <t>Condition_SkillVigorBelow</t>
    <phoneticPr fontId="1" type="noConversion"/>
  </si>
  <si>
    <t>觸發條件-技能耗體在X以下(包含X)觸發</t>
    <phoneticPr fontId="1" type="noConversion"/>
  </si>
  <si>
    <t>Knockback(n)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</si>
  <si>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</si>
  <si>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</si>
  <si>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</si>
  <si>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HP(n)</t>
  </si>
  <si>
    <t>STR(n)</t>
  </si>
  <si>
    <t>DEF(n)</t>
  </si>
  <si>
    <t>MDEF(n)</t>
  </si>
  <si>
    <t>CRIT(d)</t>
  </si>
  <si>
    <t>CRITDmg(d)</t>
  </si>
  <si>
    <t>VigorRegen(d)</t>
  </si>
  <si>
    <t>Knockback(n)</t>
  </si>
  <si>
    <t>INIT(n)</t>
  </si>
  <si>
    <t>Speed(d)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</si>
</sst>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104857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" sqref="M1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2" width="13.7109375" customWidth="1"/>
  </cols>
  <sheetData>
    <row r="1" spans="1:12" s="7" customFormat="1">
      <c r="A1" s="7" t="s">
        <v>632</v>
      </c>
      <c r="B1" s="7" t="s">
        <v>84</v>
      </c>
      <c r="C1" s="7" t="s">
        <v>633</v>
      </c>
      <c r="D1" s="7" t="s">
        <v>634</v>
      </c>
      <c r="E1" s="7" t="s">
        <v>635</v>
      </c>
      <c r="F1" s="7" t="s">
        <v>636</v>
      </c>
      <c r="G1" s="14" t="s">
        <v>637</v>
      </c>
      <c r="H1" s="14" t="s">
        <v>638</v>
      </c>
      <c r="I1" s="7" t="s">
        <v>639</v>
      </c>
      <c r="J1" s="7" t="s">
        <v>640</v>
      </c>
      <c r="K1" s="7" t="s">
        <v>641</v>
      </c>
      <c r="L1" s="7" t="s">
        <v>642</v>
      </c>
    </row>
    <row r="2" spans="1:12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625</v>
      </c>
      <c r="I2" s="7" t="s">
        <v>90</v>
      </c>
      <c r="J2" s="7" t="s">
        <v>88</v>
      </c>
      <c r="K2" s="7" t="s">
        <v>200</v>
      </c>
      <c r="L2" s="7" t="s">
        <v>286</v>
      </c>
    </row>
    <row r="3" spans="1:12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15">
        <v>1.5</v>
      </c>
      <c r="I3" s="6">
        <v>1</v>
      </c>
      <c r="J3" s="6">
        <v>16</v>
      </c>
      <c r="K3" s="6">
        <v>0</v>
      </c>
      <c r="L3" s="6">
        <v>8</v>
      </c>
    </row>
    <row r="4" spans="1:12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15">
        <v>1.5</v>
      </c>
      <c r="I4" s="6">
        <v>1</v>
      </c>
      <c r="J4" s="6">
        <v>16</v>
      </c>
      <c r="K4" s="6">
        <v>0</v>
      </c>
      <c r="L4" s="6">
        <v>8</v>
      </c>
    </row>
    <row r="5" spans="1:12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15">
        <v>1.5</v>
      </c>
      <c r="I5" s="6">
        <v>1</v>
      </c>
      <c r="J5" s="6">
        <v>16</v>
      </c>
      <c r="K5" s="6">
        <v>0</v>
      </c>
      <c r="L5" s="6">
        <v>8</v>
      </c>
    </row>
    <row r="6" spans="1:12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15">
        <v>1.5</v>
      </c>
      <c r="I6" s="6">
        <v>1</v>
      </c>
      <c r="J6" s="6">
        <v>16</v>
      </c>
      <c r="K6" s="6">
        <v>0</v>
      </c>
      <c r="L6" s="6">
        <v>8</v>
      </c>
    </row>
    <row r="7" spans="1:12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15">
        <v>1.5</v>
      </c>
      <c r="I7" s="6">
        <v>1</v>
      </c>
      <c r="J7" s="6">
        <v>16</v>
      </c>
      <c r="K7" s="6">
        <v>0</v>
      </c>
      <c r="L7" s="6">
        <v>8</v>
      </c>
    </row>
    <row r="8" spans="1:12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15">
        <v>1.5</v>
      </c>
      <c r="I8" s="6">
        <v>1</v>
      </c>
      <c r="J8" s="6">
        <v>16</v>
      </c>
      <c r="K8" s="6">
        <v>0</v>
      </c>
      <c r="L8" s="6">
        <v>8</v>
      </c>
    </row>
    <row r="9" spans="1:12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15">
        <v>1.5</v>
      </c>
      <c r="I9" s="6">
        <v>1</v>
      </c>
      <c r="J9" s="6">
        <v>16</v>
      </c>
      <c r="K9" s="6">
        <v>0</v>
      </c>
      <c r="L9" s="6">
        <v>8</v>
      </c>
    </row>
    <row r="10" spans="1:12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15">
        <v>1.5</v>
      </c>
      <c r="I10" s="6">
        <v>1</v>
      </c>
      <c r="J10" s="6">
        <v>16</v>
      </c>
      <c r="K10" s="6">
        <v>0</v>
      </c>
      <c r="L10" s="6">
        <v>8</v>
      </c>
    </row>
    <row r="11" spans="1:12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15">
        <v>1.5</v>
      </c>
      <c r="I11" s="6">
        <v>1</v>
      </c>
      <c r="J11" s="6">
        <v>16</v>
      </c>
      <c r="K11" s="6">
        <v>0</v>
      </c>
      <c r="L11" s="6">
        <v>8</v>
      </c>
    </row>
    <row r="12" spans="1:12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15">
        <v>1.5</v>
      </c>
      <c r="I12" s="6">
        <v>1</v>
      </c>
      <c r="J12" s="6">
        <v>16</v>
      </c>
      <c r="K12" s="6">
        <v>0</v>
      </c>
      <c r="L12" s="6">
        <v>8</v>
      </c>
    </row>
    <row r="14" spans="1:12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" sqref="H1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17" style="21" customWidth="1"/>
  </cols>
  <sheetData>
    <row r="1" spans="1:11" s="7" customFormat="1">
      <c r="A1" s="7" t="s">
        <v>610</v>
      </c>
      <c r="B1" s="25" t="s">
        <v>84</v>
      </c>
      <c r="C1" s="7" t="s">
        <v>611</v>
      </c>
      <c r="D1" s="7" t="s">
        <v>612</v>
      </c>
      <c r="E1" s="7" t="s">
        <v>617</v>
      </c>
      <c r="F1" s="7" t="s">
        <v>613</v>
      </c>
      <c r="G1" s="7" t="s">
        <v>614</v>
      </c>
      <c r="H1" s="7" t="s">
        <v>629</v>
      </c>
      <c r="I1" s="7" t="s">
        <v>615</v>
      </c>
      <c r="J1" s="7" t="s">
        <v>616</v>
      </c>
    </row>
    <row r="2" spans="1:11" s="7" customFormat="1">
      <c r="A2" s="7" t="s">
        <v>79</v>
      </c>
      <c r="B2" s="25" t="s">
        <v>85</v>
      </c>
      <c r="C2" s="31" t="s">
        <v>609</v>
      </c>
      <c r="D2" s="7" t="s">
        <v>199</v>
      </c>
      <c r="E2" s="7" t="s">
        <v>618</v>
      </c>
      <c r="F2" s="7" t="s">
        <v>200</v>
      </c>
      <c r="G2" s="7" t="s">
        <v>159</v>
      </c>
      <c r="H2" s="7" t="s">
        <v>250</v>
      </c>
      <c r="I2" s="7" t="s">
        <v>381</v>
      </c>
      <c r="J2" s="7" t="s">
        <v>287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382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382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382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382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382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382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382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382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382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382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382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382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382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G20" s="6">
        <v>1</v>
      </c>
      <c r="I20" s="6" t="s">
        <v>382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G21" s="6">
        <v>1</v>
      </c>
      <c r="I21" s="6" t="s">
        <v>382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G22" s="6">
        <v>1</v>
      </c>
      <c r="I22" s="6" t="s">
        <v>382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382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G24" s="6">
        <v>1</v>
      </c>
      <c r="I24" s="6" t="s">
        <v>382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382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382</v>
      </c>
      <c r="K26" s="20"/>
    </row>
    <row r="28" spans="1:18" s="6" customFormat="1">
      <c r="B28" s="26" t="s">
        <v>313</v>
      </c>
      <c r="C28" s="33"/>
      <c r="K28" s="20"/>
    </row>
    <row r="29" spans="1:18" s="6" customFormat="1">
      <c r="B29" s="26" t="s">
        <v>355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288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289</v>
      </c>
      <c r="J30" s="27" t="s">
        <v>290</v>
      </c>
      <c r="K30" s="29" t="s">
        <v>319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310</v>
      </c>
      <c r="C31" s="34">
        <v>10002</v>
      </c>
      <c r="D31" s="27" t="s">
        <v>202</v>
      </c>
      <c r="E31" s="27">
        <v>10</v>
      </c>
      <c r="I31" s="27" t="s">
        <v>384</v>
      </c>
      <c r="J31" s="27" t="s">
        <v>290</v>
      </c>
      <c r="K31" s="29" t="s">
        <v>301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305</v>
      </c>
      <c r="C32" s="34">
        <v>10003</v>
      </c>
      <c r="D32" s="27" t="s">
        <v>202</v>
      </c>
      <c r="E32" s="27">
        <v>10</v>
      </c>
      <c r="I32" s="27" t="s">
        <v>384</v>
      </c>
      <c r="J32" s="27" t="s">
        <v>290</v>
      </c>
      <c r="K32" s="29" t="s">
        <v>341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309</v>
      </c>
      <c r="C33" s="33">
        <v>10004</v>
      </c>
      <c r="D33" s="6" t="s">
        <v>298</v>
      </c>
      <c r="E33" s="6">
        <v>10</v>
      </c>
      <c r="I33" s="6" t="s">
        <v>384</v>
      </c>
      <c r="J33" s="6" t="s">
        <v>290</v>
      </c>
      <c r="K33" s="20" t="s">
        <v>465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303</v>
      </c>
      <c r="C34" s="33">
        <v>10005</v>
      </c>
      <c r="D34" s="6" t="s">
        <v>298</v>
      </c>
      <c r="E34" s="6">
        <v>10</v>
      </c>
      <c r="I34" s="6" t="s">
        <v>384</v>
      </c>
      <c r="J34" s="6" t="s">
        <v>290</v>
      </c>
      <c r="K34" s="20" t="s">
        <v>325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302</v>
      </c>
      <c r="C35" s="33">
        <v>10006</v>
      </c>
      <c r="D35" s="6" t="s">
        <v>298</v>
      </c>
      <c r="E35" s="6">
        <v>10</v>
      </c>
      <c r="I35" s="6" t="s">
        <v>384</v>
      </c>
      <c r="J35" s="6" t="s">
        <v>290</v>
      </c>
      <c r="K35" s="20" t="s">
        <v>326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308</v>
      </c>
      <c r="C36" s="33">
        <v>10007</v>
      </c>
      <c r="D36" s="6" t="s">
        <v>298</v>
      </c>
      <c r="E36" s="6">
        <v>10</v>
      </c>
      <c r="I36" s="6" t="s">
        <v>384</v>
      </c>
      <c r="J36" s="6" t="s">
        <v>290</v>
      </c>
      <c r="K36" s="20" t="s">
        <v>304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306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384</v>
      </c>
      <c r="J37" s="6" t="s">
        <v>290</v>
      </c>
      <c r="K37" s="20" t="s">
        <v>307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311</v>
      </c>
      <c r="C38" s="33">
        <v>10009</v>
      </c>
      <c r="D38" s="6" t="s">
        <v>202</v>
      </c>
      <c r="E38" s="6">
        <v>10</v>
      </c>
      <c r="I38" s="6" t="s">
        <v>384</v>
      </c>
      <c r="J38" s="6" t="s">
        <v>290</v>
      </c>
      <c r="K38" s="20" t="s">
        <v>317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312</v>
      </c>
      <c r="C39" s="33">
        <v>10010</v>
      </c>
      <c r="D39" s="6" t="s">
        <v>202</v>
      </c>
      <c r="E39" s="6">
        <v>10</v>
      </c>
      <c r="I39" s="6" t="s">
        <v>384</v>
      </c>
      <c r="J39" s="6" t="s">
        <v>290</v>
      </c>
      <c r="K39" s="20" t="s">
        <v>318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322</v>
      </c>
      <c r="C40" s="33">
        <v>10011</v>
      </c>
      <c r="D40" s="6" t="s">
        <v>202</v>
      </c>
      <c r="E40" s="6">
        <v>10</v>
      </c>
      <c r="I40" s="6" t="s">
        <v>384</v>
      </c>
      <c r="J40" s="6" t="s">
        <v>290</v>
      </c>
      <c r="K40" s="20" t="s">
        <v>323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354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298</v>
      </c>
      <c r="E43" s="27">
        <v>10</v>
      </c>
      <c r="I43" s="27" t="s">
        <v>384</v>
      </c>
      <c r="J43" s="27" t="s">
        <v>292</v>
      </c>
      <c r="K43" s="29" t="s">
        <v>331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314</v>
      </c>
      <c r="C44" s="34">
        <v>10102</v>
      </c>
      <c r="D44" s="27" t="s">
        <v>202</v>
      </c>
      <c r="E44" s="27">
        <v>10</v>
      </c>
      <c r="I44" s="27" t="s">
        <v>384</v>
      </c>
      <c r="J44" s="27" t="s">
        <v>292</v>
      </c>
      <c r="K44" s="29" t="s">
        <v>514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328</v>
      </c>
      <c r="C45" s="34">
        <v>10103</v>
      </c>
      <c r="D45" s="27" t="s">
        <v>202</v>
      </c>
      <c r="E45" s="27">
        <v>10</v>
      </c>
      <c r="I45" s="27" t="s">
        <v>384</v>
      </c>
      <c r="J45" s="27" t="s">
        <v>292</v>
      </c>
      <c r="K45" s="29" t="s">
        <v>608</v>
      </c>
      <c r="P45" s="28"/>
      <c r="Q45" s="29"/>
    </row>
    <row r="46" spans="1:18" s="6" customFormat="1">
      <c r="A46" s="6">
        <v>10104</v>
      </c>
      <c r="B46" s="26" t="s">
        <v>327</v>
      </c>
      <c r="C46" s="33">
        <v>10104</v>
      </c>
      <c r="D46" s="6" t="s">
        <v>202</v>
      </c>
      <c r="E46" s="6">
        <v>10</v>
      </c>
      <c r="I46" s="6" t="s">
        <v>384</v>
      </c>
      <c r="J46" s="6" t="s">
        <v>292</v>
      </c>
      <c r="K46" s="20" t="s">
        <v>504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334</v>
      </c>
      <c r="C47" s="33">
        <v>10105</v>
      </c>
      <c r="D47" s="6" t="s">
        <v>202</v>
      </c>
      <c r="E47" s="6">
        <v>10</v>
      </c>
      <c r="I47" s="6" t="s">
        <v>384</v>
      </c>
      <c r="J47" s="6" t="s">
        <v>292</v>
      </c>
      <c r="K47" s="20" t="s">
        <v>507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316</v>
      </c>
      <c r="C48" s="33">
        <v>10106</v>
      </c>
      <c r="D48" s="6" t="s">
        <v>201</v>
      </c>
      <c r="E48" s="6">
        <v>10</v>
      </c>
      <c r="F48" s="6">
        <v>30</v>
      </c>
      <c r="I48" s="6" t="s">
        <v>384</v>
      </c>
      <c r="J48" s="6" t="s">
        <v>292</v>
      </c>
      <c r="K48" s="20" t="s">
        <v>320</v>
      </c>
      <c r="P48" s="26"/>
      <c r="Q48" s="20"/>
    </row>
    <row r="49" spans="1:18" s="6" customFormat="1">
      <c r="A49" s="6">
        <v>10107</v>
      </c>
      <c r="B49" s="26" t="s">
        <v>321</v>
      </c>
      <c r="C49" s="33">
        <v>10107</v>
      </c>
      <c r="D49" s="6" t="s">
        <v>201</v>
      </c>
      <c r="E49" s="6">
        <v>10</v>
      </c>
      <c r="I49" s="6" t="s">
        <v>384</v>
      </c>
      <c r="J49" s="6" t="s">
        <v>292</v>
      </c>
      <c r="K49" s="20" t="s">
        <v>521</v>
      </c>
      <c r="P49" s="26"/>
      <c r="Q49" s="20"/>
    </row>
    <row r="50" spans="1:18" s="6" customFormat="1">
      <c r="A50" s="6">
        <v>10108</v>
      </c>
      <c r="B50" s="26" t="s">
        <v>315</v>
      </c>
      <c r="C50" s="33">
        <v>10108</v>
      </c>
      <c r="D50" s="6" t="s">
        <v>298</v>
      </c>
      <c r="E50" s="6">
        <v>10</v>
      </c>
      <c r="I50" s="6" t="s">
        <v>384</v>
      </c>
      <c r="J50" s="6" t="s">
        <v>292</v>
      </c>
      <c r="K50" s="20" t="s">
        <v>324</v>
      </c>
      <c r="P50" s="26"/>
      <c r="Q50" s="20"/>
    </row>
    <row r="51" spans="1:18" s="6" customFormat="1">
      <c r="A51" s="6">
        <v>10109</v>
      </c>
      <c r="B51" s="26" t="s">
        <v>335</v>
      </c>
      <c r="C51" s="33">
        <v>10109</v>
      </c>
      <c r="D51" s="6" t="s">
        <v>202</v>
      </c>
      <c r="E51" s="6">
        <v>10</v>
      </c>
      <c r="I51" s="6" t="s">
        <v>384</v>
      </c>
      <c r="J51" s="6" t="s">
        <v>292</v>
      </c>
      <c r="K51" s="20" t="s">
        <v>528</v>
      </c>
      <c r="P51" s="26"/>
      <c r="Q51" s="20"/>
    </row>
    <row r="52" spans="1:18" s="6" customFormat="1">
      <c r="A52" s="6">
        <v>10110</v>
      </c>
      <c r="B52" s="26" t="s">
        <v>330</v>
      </c>
      <c r="C52" s="33">
        <v>10110</v>
      </c>
      <c r="D52" s="6" t="s">
        <v>202</v>
      </c>
      <c r="E52" s="6">
        <v>10</v>
      </c>
      <c r="I52" s="6" t="s">
        <v>384</v>
      </c>
      <c r="J52" s="6" t="s">
        <v>292</v>
      </c>
      <c r="K52" s="20" t="s">
        <v>329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352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339</v>
      </c>
      <c r="C55" s="34">
        <v>10201</v>
      </c>
      <c r="D55" s="27" t="s">
        <v>298</v>
      </c>
      <c r="E55" s="27">
        <v>10</v>
      </c>
      <c r="I55" s="27" t="s">
        <v>384</v>
      </c>
      <c r="J55" s="27" t="s">
        <v>294</v>
      </c>
      <c r="K55" s="29" t="s">
        <v>336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332</v>
      </c>
      <c r="C56" s="34">
        <v>10202</v>
      </c>
      <c r="D56" s="27" t="s">
        <v>298</v>
      </c>
      <c r="E56" s="27">
        <v>10</v>
      </c>
      <c r="I56" s="27" t="s">
        <v>384</v>
      </c>
      <c r="J56" s="27" t="s">
        <v>294</v>
      </c>
      <c r="K56" s="29" t="s">
        <v>333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342</v>
      </c>
      <c r="C57" s="34">
        <v>10203</v>
      </c>
      <c r="D57" s="27" t="s">
        <v>201</v>
      </c>
      <c r="E57" s="27">
        <v>10</v>
      </c>
      <c r="I57" s="27" t="s">
        <v>384</v>
      </c>
      <c r="J57" s="27" t="s">
        <v>294</v>
      </c>
      <c r="K57" s="29" t="s">
        <v>345</v>
      </c>
      <c r="P57" s="28"/>
      <c r="Q57" s="29"/>
    </row>
    <row r="58" spans="1:18" s="6" customFormat="1">
      <c r="A58" s="6">
        <v>10204</v>
      </c>
      <c r="B58" s="26" t="s">
        <v>543</v>
      </c>
      <c r="C58" s="33">
        <v>10204</v>
      </c>
      <c r="D58" s="6" t="s">
        <v>202</v>
      </c>
      <c r="E58" s="6">
        <v>10</v>
      </c>
      <c r="I58" s="6" t="s">
        <v>384</v>
      </c>
      <c r="J58" s="6" t="s">
        <v>294</v>
      </c>
      <c r="K58" s="20" t="s">
        <v>337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347</v>
      </c>
      <c r="C59" s="33">
        <v>10205</v>
      </c>
      <c r="D59" s="6" t="s">
        <v>202</v>
      </c>
      <c r="E59" s="6">
        <v>10</v>
      </c>
      <c r="I59" s="6" t="s">
        <v>384</v>
      </c>
      <c r="J59" s="6" t="s">
        <v>294</v>
      </c>
      <c r="K59" s="20" t="s">
        <v>372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343</v>
      </c>
      <c r="C60" s="33">
        <v>10206</v>
      </c>
      <c r="D60" s="6" t="s">
        <v>298</v>
      </c>
      <c r="E60" s="6">
        <v>10</v>
      </c>
      <c r="I60" s="6" t="s">
        <v>384</v>
      </c>
      <c r="J60" s="6" t="s">
        <v>294</v>
      </c>
      <c r="K60" s="20" t="s">
        <v>344</v>
      </c>
      <c r="P60" s="26"/>
      <c r="Q60" s="20"/>
    </row>
    <row r="61" spans="1:18" s="6" customFormat="1">
      <c r="A61" s="6">
        <v>10207</v>
      </c>
      <c r="B61" s="26" t="s">
        <v>554</v>
      </c>
      <c r="C61" s="33">
        <v>10207</v>
      </c>
      <c r="D61" s="6" t="s">
        <v>298</v>
      </c>
      <c r="E61" s="6">
        <v>10</v>
      </c>
      <c r="I61" s="6" t="s">
        <v>384</v>
      </c>
      <c r="J61" s="6" t="s">
        <v>294</v>
      </c>
      <c r="K61" s="20" t="s">
        <v>545</v>
      </c>
      <c r="P61" s="26"/>
      <c r="Q61" s="20"/>
    </row>
    <row r="62" spans="1:18" s="6" customFormat="1">
      <c r="A62" s="6">
        <v>10208</v>
      </c>
      <c r="B62" s="26" t="s">
        <v>340</v>
      </c>
      <c r="C62" s="33">
        <v>10208</v>
      </c>
      <c r="D62" s="6" t="s">
        <v>298</v>
      </c>
      <c r="E62" s="6">
        <v>10</v>
      </c>
      <c r="I62" s="6" t="s">
        <v>384</v>
      </c>
      <c r="J62" s="6" t="s">
        <v>294</v>
      </c>
      <c r="K62" s="20" t="s">
        <v>346</v>
      </c>
      <c r="P62" s="26"/>
      <c r="Q62" s="20"/>
    </row>
    <row r="63" spans="1:18" s="6" customFormat="1">
      <c r="A63" s="6">
        <v>10209</v>
      </c>
      <c r="B63" s="26" t="s">
        <v>348</v>
      </c>
      <c r="C63" s="33">
        <v>10209</v>
      </c>
      <c r="D63" s="6" t="s">
        <v>298</v>
      </c>
      <c r="E63" s="6">
        <v>10</v>
      </c>
      <c r="I63" s="6" t="s">
        <v>384</v>
      </c>
      <c r="J63" s="6" t="s">
        <v>294</v>
      </c>
      <c r="K63" s="20" t="s">
        <v>349</v>
      </c>
      <c r="P63" s="26"/>
      <c r="Q63" s="20"/>
    </row>
    <row r="64" spans="1:18" s="6" customFormat="1">
      <c r="A64" s="6">
        <v>10210</v>
      </c>
      <c r="B64" s="26" t="s">
        <v>338</v>
      </c>
      <c r="C64" s="33">
        <v>10210</v>
      </c>
      <c r="D64" s="6" t="s">
        <v>201</v>
      </c>
      <c r="E64" s="6">
        <v>10</v>
      </c>
      <c r="I64" s="6" t="s">
        <v>384</v>
      </c>
      <c r="J64" s="6" t="s">
        <v>294</v>
      </c>
      <c r="K64" s="20" t="s">
        <v>350</v>
      </c>
      <c r="P64" s="26"/>
      <c r="Q64" s="20"/>
    </row>
    <row r="65" spans="1:17" s="6" customFormat="1">
      <c r="A65" s="6">
        <v>10211</v>
      </c>
      <c r="B65" s="26" t="s">
        <v>351</v>
      </c>
      <c r="C65" s="33">
        <v>10211</v>
      </c>
      <c r="D65" s="6" t="s">
        <v>201</v>
      </c>
      <c r="E65" s="6">
        <v>10</v>
      </c>
      <c r="I65" s="6" t="s">
        <v>384</v>
      </c>
      <c r="J65" s="6" t="s">
        <v>294</v>
      </c>
      <c r="K65" s="20" t="s">
        <v>560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353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356</v>
      </c>
      <c r="C68" s="34">
        <v>10301</v>
      </c>
      <c r="D68" s="27" t="s">
        <v>298</v>
      </c>
      <c r="E68" s="27">
        <v>10</v>
      </c>
      <c r="I68" s="27" t="s">
        <v>384</v>
      </c>
      <c r="J68" s="27" t="s">
        <v>296</v>
      </c>
      <c r="K68" s="29" t="s">
        <v>357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369</v>
      </c>
      <c r="C69" s="34">
        <v>10302</v>
      </c>
      <c r="D69" s="27" t="s">
        <v>202</v>
      </c>
      <c r="E69" s="27">
        <v>10</v>
      </c>
      <c r="I69" s="27" t="s">
        <v>384</v>
      </c>
      <c r="J69" s="27" t="s">
        <v>296</v>
      </c>
      <c r="K69" s="29" t="s">
        <v>370</v>
      </c>
    </row>
    <row r="70" spans="1:17" s="27" customFormat="1">
      <c r="A70" s="27">
        <v>10303</v>
      </c>
      <c r="B70" s="28" t="s">
        <v>358</v>
      </c>
      <c r="C70" s="34">
        <v>10303</v>
      </c>
      <c r="D70" s="27" t="s">
        <v>202</v>
      </c>
      <c r="E70" s="27">
        <v>10</v>
      </c>
      <c r="I70" s="27" t="s">
        <v>384</v>
      </c>
      <c r="J70" s="27" t="s">
        <v>296</v>
      </c>
      <c r="K70" s="29" t="s">
        <v>361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359</v>
      </c>
      <c r="C71" s="33">
        <v>10304</v>
      </c>
      <c r="D71" s="6" t="s">
        <v>201</v>
      </c>
      <c r="E71" s="6">
        <v>10</v>
      </c>
      <c r="I71" s="6" t="s">
        <v>384</v>
      </c>
      <c r="J71" s="6" t="s">
        <v>296</v>
      </c>
      <c r="K71" s="20" t="s">
        <v>360</v>
      </c>
      <c r="P71" s="26"/>
      <c r="Q71" s="20"/>
    </row>
    <row r="72" spans="1:17" s="6" customFormat="1">
      <c r="A72" s="6">
        <v>10305</v>
      </c>
      <c r="B72" s="26" t="s">
        <v>362</v>
      </c>
      <c r="C72" s="33">
        <v>10305</v>
      </c>
      <c r="D72" s="6" t="s">
        <v>298</v>
      </c>
      <c r="E72" s="6">
        <v>10</v>
      </c>
      <c r="I72" s="6" t="s">
        <v>384</v>
      </c>
      <c r="J72" s="6" t="s">
        <v>296</v>
      </c>
      <c r="K72" s="20" t="s">
        <v>363</v>
      </c>
      <c r="P72" s="26"/>
      <c r="Q72" s="20"/>
    </row>
    <row r="73" spans="1:17" s="6" customFormat="1">
      <c r="A73" s="6">
        <v>10306</v>
      </c>
      <c r="B73" s="26" t="s">
        <v>364</v>
      </c>
      <c r="C73" s="33">
        <v>10306</v>
      </c>
      <c r="D73" s="6" t="s">
        <v>202</v>
      </c>
      <c r="E73" s="6">
        <v>10</v>
      </c>
      <c r="I73" s="6" t="s">
        <v>384</v>
      </c>
      <c r="J73" s="6" t="s">
        <v>296</v>
      </c>
      <c r="K73" s="20" t="s">
        <v>373</v>
      </c>
      <c r="P73" s="26"/>
      <c r="Q73" s="20"/>
    </row>
    <row r="74" spans="1:17" s="6" customFormat="1">
      <c r="A74" s="6">
        <v>10307</v>
      </c>
      <c r="B74" s="26" t="s">
        <v>586</v>
      </c>
      <c r="C74" s="33">
        <v>10307</v>
      </c>
      <c r="D74" s="6" t="s">
        <v>298</v>
      </c>
      <c r="E74" s="6">
        <v>10</v>
      </c>
      <c r="I74" s="6" t="s">
        <v>384</v>
      </c>
      <c r="J74" s="6" t="s">
        <v>296</v>
      </c>
      <c r="K74" s="20" t="s">
        <v>585</v>
      </c>
      <c r="P74" s="26"/>
      <c r="Q74" s="20"/>
    </row>
    <row r="75" spans="1:17" s="6" customFormat="1">
      <c r="A75" s="6">
        <v>10308</v>
      </c>
      <c r="B75" s="26" t="s">
        <v>366</v>
      </c>
      <c r="C75" s="33">
        <v>10308</v>
      </c>
      <c r="D75" s="6" t="s">
        <v>202</v>
      </c>
      <c r="E75" s="6">
        <v>10</v>
      </c>
      <c r="I75" s="6" t="s">
        <v>384</v>
      </c>
      <c r="J75" s="6" t="s">
        <v>296</v>
      </c>
      <c r="K75" s="20" t="s">
        <v>367</v>
      </c>
      <c r="P75" s="26"/>
      <c r="Q75" s="20"/>
    </row>
    <row r="76" spans="1:17" s="6" customFormat="1">
      <c r="A76" s="6">
        <v>10309</v>
      </c>
      <c r="B76" s="26" t="s">
        <v>368</v>
      </c>
      <c r="C76" s="33">
        <v>10309</v>
      </c>
      <c r="D76" s="6" t="s">
        <v>298</v>
      </c>
      <c r="E76" s="6">
        <v>10</v>
      </c>
      <c r="I76" s="6" t="s">
        <v>384</v>
      </c>
      <c r="J76" s="6" t="s">
        <v>296</v>
      </c>
      <c r="K76" s="20" t="s">
        <v>365</v>
      </c>
      <c r="P76" s="26"/>
      <c r="Q76" s="20"/>
    </row>
    <row r="77" spans="1:17" s="6" customFormat="1">
      <c r="A77" s="6">
        <v>10310</v>
      </c>
      <c r="B77" s="26" t="s">
        <v>600</v>
      </c>
      <c r="C77" s="33">
        <v>10310</v>
      </c>
      <c r="D77" s="6" t="s">
        <v>201</v>
      </c>
      <c r="E77" s="6">
        <v>10</v>
      </c>
      <c r="I77" s="6" t="s">
        <v>384</v>
      </c>
      <c r="J77" s="6" t="s">
        <v>296</v>
      </c>
      <c r="K77" s="20" t="s">
        <v>371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6"/>
  <sheetViews>
    <sheetView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C74" sqref="C74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449</v>
      </c>
      <c r="H1" s="14" t="s">
        <v>258</v>
      </c>
      <c r="I1" s="7" t="s">
        <v>214</v>
      </c>
      <c r="J1" s="17" t="s">
        <v>450</v>
      </c>
      <c r="K1" s="14" t="s">
        <v>259</v>
      </c>
      <c r="L1" s="7" t="s">
        <v>215</v>
      </c>
      <c r="M1" s="17" t="s">
        <v>451</v>
      </c>
      <c r="N1" s="14" t="s">
        <v>260</v>
      </c>
      <c r="O1" s="7" t="s">
        <v>216</v>
      </c>
      <c r="P1" s="17" t="s">
        <v>452</v>
      </c>
      <c r="Q1" s="14" t="s">
        <v>261</v>
      </c>
      <c r="R1" s="7" t="s">
        <v>262</v>
      </c>
      <c r="S1" s="17" t="s">
        <v>453</v>
      </c>
      <c r="T1" s="14" t="s">
        <v>263</v>
      </c>
      <c r="U1" s="7" t="s">
        <v>217</v>
      </c>
      <c r="V1" s="17" t="s">
        <v>454</v>
      </c>
      <c r="W1" s="14" t="s">
        <v>264</v>
      </c>
      <c r="X1" s="7" t="s">
        <v>218</v>
      </c>
      <c r="Y1" s="17" t="s">
        <v>455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603</v>
      </c>
      <c r="G5" s="33">
        <v>5</v>
      </c>
      <c r="H5" s="15">
        <v>1</v>
      </c>
      <c r="I5" s="6" t="s">
        <v>603</v>
      </c>
      <c r="J5" s="18">
        <v>5</v>
      </c>
      <c r="K5" s="15">
        <v>1</v>
      </c>
      <c r="L5" s="6" t="s">
        <v>603</v>
      </c>
      <c r="M5" s="18">
        <v>5</v>
      </c>
      <c r="N5" s="15">
        <v>1</v>
      </c>
      <c r="O5" s="6" t="s">
        <v>603</v>
      </c>
      <c r="P5" s="18">
        <v>5</v>
      </c>
      <c r="Q5" s="15">
        <v>1</v>
      </c>
      <c r="R5" s="6" t="s">
        <v>603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603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603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603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603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603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603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603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603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603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603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603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603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603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603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603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603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385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386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387</v>
      </c>
      <c r="C32" s="26" t="s">
        <v>319</v>
      </c>
      <c r="D32" s="6">
        <v>10001</v>
      </c>
      <c r="E32" s="6" t="s">
        <v>211</v>
      </c>
      <c r="F32" s="6" t="s">
        <v>442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388</v>
      </c>
      <c r="C33" s="26" t="s">
        <v>461</v>
      </c>
      <c r="D33" s="6">
        <v>10002</v>
      </c>
      <c r="E33" s="6" t="s">
        <v>235</v>
      </c>
      <c r="F33" s="6" t="s">
        <v>447</v>
      </c>
      <c r="G33" s="33" t="s">
        <v>457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389</v>
      </c>
      <c r="C34" s="26" t="s">
        <v>462</v>
      </c>
      <c r="D34" s="6">
        <v>10003</v>
      </c>
      <c r="E34" s="6" t="s">
        <v>235</v>
      </c>
      <c r="F34" s="6" t="s">
        <v>252</v>
      </c>
      <c r="G34" s="33" t="s">
        <v>463</v>
      </c>
      <c r="H34" s="15">
        <v>1</v>
      </c>
      <c r="I34" s="6" t="s">
        <v>447</v>
      </c>
      <c r="J34" s="33" t="s">
        <v>464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390</v>
      </c>
      <c r="C35" s="26" t="s">
        <v>461</v>
      </c>
      <c r="D35" s="6">
        <v>10004</v>
      </c>
      <c r="E35" s="6" t="s">
        <v>235</v>
      </c>
      <c r="F35" s="6" t="s">
        <v>447</v>
      </c>
      <c r="G35" s="33" t="s">
        <v>466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391</v>
      </c>
      <c r="C36" s="26" t="s">
        <v>474</v>
      </c>
      <c r="D36" s="6">
        <v>10005</v>
      </c>
      <c r="E36" s="6" t="s">
        <v>235</v>
      </c>
      <c r="F36" s="6" t="s">
        <v>470</v>
      </c>
      <c r="G36" s="33" t="s">
        <v>466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392</v>
      </c>
      <c r="C37" s="26" t="s">
        <v>469</v>
      </c>
      <c r="D37" s="6">
        <v>10006</v>
      </c>
      <c r="E37" s="6" t="s">
        <v>235</v>
      </c>
      <c r="F37" s="6" t="s">
        <v>467</v>
      </c>
      <c r="G37" s="33" t="s">
        <v>466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393</v>
      </c>
      <c r="C38" s="26" t="s">
        <v>475</v>
      </c>
      <c r="D38" s="6">
        <v>10007</v>
      </c>
      <c r="E38" s="6" t="s">
        <v>235</v>
      </c>
      <c r="F38" s="6" t="s">
        <v>470</v>
      </c>
      <c r="G38" s="33" t="s">
        <v>476</v>
      </c>
      <c r="H38" s="15">
        <v>1</v>
      </c>
      <c r="I38" s="6" t="s">
        <v>467</v>
      </c>
      <c r="J38" s="33" t="s">
        <v>476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394</v>
      </c>
      <c r="C39" s="26" t="s">
        <v>307</v>
      </c>
      <c r="D39" s="6">
        <v>10008</v>
      </c>
      <c r="E39" s="6" t="s">
        <v>235</v>
      </c>
      <c r="F39" s="6" t="s">
        <v>477</v>
      </c>
      <c r="G39" s="33" t="s">
        <v>480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395</v>
      </c>
      <c r="C40" s="26" t="s">
        <v>487</v>
      </c>
      <c r="D40" s="6">
        <v>10009</v>
      </c>
      <c r="E40" s="6" t="s">
        <v>235</v>
      </c>
      <c r="F40" s="6" t="s">
        <v>481</v>
      </c>
      <c r="G40" s="33" t="s">
        <v>480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396</v>
      </c>
      <c r="C41" s="26" t="s">
        <v>488</v>
      </c>
      <c r="D41" s="6">
        <v>10010</v>
      </c>
      <c r="E41" s="6" t="s">
        <v>235</v>
      </c>
      <c r="F41" s="6" t="s">
        <v>483</v>
      </c>
      <c r="G41" s="33" t="s">
        <v>480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397</v>
      </c>
      <c r="C42" s="26" t="s">
        <v>491</v>
      </c>
      <c r="D42" s="6">
        <v>10011</v>
      </c>
      <c r="E42" s="6" t="s">
        <v>235</v>
      </c>
      <c r="F42" s="6" t="s">
        <v>489</v>
      </c>
      <c r="G42" s="33" t="s">
        <v>463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398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399</v>
      </c>
      <c r="C45" s="26" t="s">
        <v>495</v>
      </c>
      <c r="D45" s="6">
        <v>10101</v>
      </c>
      <c r="E45" s="6" t="s">
        <v>235</v>
      </c>
      <c r="F45" s="6" t="s">
        <v>492</v>
      </c>
      <c r="G45" s="33" t="s">
        <v>494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510</v>
      </c>
      <c r="B46" s="20" t="s">
        <v>511</v>
      </c>
      <c r="C46" s="26" t="s">
        <v>513</v>
      </c>
      <c r="D46" s="6">
        <v>10102</v>
      </c>
      <c r="E46" s="6" t="s">
        <v>235</v>
      </c>
      <c r="F46" s="6" t="s">
        <v>626</v>
      </c>
      <c r="G46" s="33" t="s">
        <v>460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509</v>
      </c>
      <c r="B47" s="20" t="s">
        <v>512</v>
      </c>
      <c r="C47" s="26" t="s">
        <v>498</v>
      </c>
      <c r="D47" s="6">
        <v>10102</v>
      </c>
      <c r="E47" s="6" t="s">
        <v>235</v>
      </c>
      <c r="F47" s="6" t="s">
        <v>499</v>
      </c>
      <c r="G47" s="33" t="s">
        <v>497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400</v>
      </c>
      <c r="C48" s="26" t="s">
        <v>608</v>
      </c>
      <c r="D48" s="6">
        <v>10103</v>
      </c>
      <c r="E48" s="6" t="s">
        <v>235</v>
      </c>
      <c r="F48" s="6" t="s">
        <v>501</v>
      </c>
      <c r="G48" s="33" t="s">
        <v>480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401</v>
      </c>
      <c r="C49" s="26" t="s">
        <v>503</v>
      </c>
      <c r="D49" s="6">
        <v>10104</v>
      </c>
      <c r="E49" s="6" t="s">
        <v>235</v>
      </c>
      <c r="F49" s="6" t="s">
        <v>505</v>
      </c>
      <c r="G49" s="33" t="s">
        <v>480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402</v>
      </c>
      <c r="C50" s="26" t="s">
        <v>508</v>
      </c>
      <c r="D50" s="6">
        <v>10105</v>
      </c>
      <c r="E50" s="6" t="s">
        <v>235</v>
      </c>
      <c r="F50" s="6" t="s">
        <v>191</v>
      </c>
      <c r="G50" s="33" t="s">
        <v>463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517</v>
      </c>
      <c r="B51" s="20" t="s">
        <v>516</v>
      </c>
      <c r="C51" s="26" t="s">
        <v>425</v>
      </c>
      <c r="D51" s="6">
        <v>10106</v>
      </c>
      <c r="E51" s="6" t="s">
        <v>235</v>
      </c>
      <c r="F51" s="6" t="s">
        <v>515</v>
      </c>
      <c r="G51" s="33" t="s">
        <v>480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10107</v>
      </c>
      <c r="B52" s="20" t="s">
        <v>403</v>
      </c>
      <c r="C52" s="26" t="s">
        <v>520</v>
      </c>
      <c r="D52" s="6">
        <v>10107</v>
      </c>
      <c r="E52" s="6" t="s">
        <v>235</v>
      </c>
      <c r="F52" s="6" t="s">
        <v>518</v>
      </c>
      <c r="G52" s="33" t="s">
        <v>480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10108</v>
      </c>
      <c r="B53" s="20" t="s">
        <v>404</v>
      </c>
      <c r="C53" s="26" t="s">
        <v>426</v>
      </c>
      <c r="D53" s="6">
        <v>10108</v>
      </c>
      <c r="E53" s="6" t="s">
        <v>235</v>
      </c>
      <c r="F53" s="6" t="s">
        <v>522</v>
      </c>
      <c r="G53" s="33" t="s">
        <v>466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10109</v>
      </c>
      <c r="B54" s="20" t="s">
        <v>405</v>
      </c>
      <c r="C54" s="26" t="s">
        <v>528</v>
      </c>
      <c r="D54" s="6">
        <v>10109</v>
      </c>
      <c r="E54" s="6" t="s">
        <v>235</v>
      </c>
      <c r="F54" s="6" t="s">
        <v>525</v>
      </c>
      <c r="G54" s="33" t="s">
        <v>480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10110</v>
      </c>
      <c r="B55" s="20" t="s">
        <v>406</v>
      </c>
      <c r="C55" s="26" t="s">
        <v>427</v>
      </c>
      <c r="D55" s="6">
        <v>10110</v>
      </c>
      <c r="E55" s="6" t="s">
        <v>211</v>
      </c>
      <c r="F55" s="6" t="s">
        <v>230</v>
      </c>
      <c r="G55" s="33" t="s">
        <v>459</v>
      </c>
      <c r="H55" s="15">
        <v>1</v>
      </c>
      <c r="I55" s="6"/>
      <c r="J55" s="18"/>
      <c r="K55" s="15"/>
      <c r="L55" s="6"/>
      <c r="M55" s="18"/>
      <c r="N55" s="15"/>
    </row>
    <row r="56" spans="1:14">
      <c r="C56" s="26"/>
      <c r="D56" s="6"/>
      <c r="E56" s="6"/>
      <c r="F56" s="6"/>
      <c r="G56" s="33"/>
      <c r="H56" s="15"/>
      <c r="I56" s="6"/>
      <c r="J56" s="18"/>
      <c r="K56" s="15"/>
      <c r="L56" s="6"/>
      <c r="M56" s="18"/>
      <c r="N56" s="15"/>
    </row>
    <row r="57" spans="1:14">
      <c r="B57" s="20" t="s">
        <v>407</v>
      </c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A58" s="6">
        <v>10201</v>
      </c>
      <c r="B58" s="20" t="s">
        <v>408</v>
      </c>
      <c r="C58" s="26" t="s">
        <v>428</v>
      </c>
      <c r="D58" s="6">
        <v>10201</v>
      </c>
      <c r="E58" s="6" t="s">
        <v>235</v>
      </c>
      <c r="F58" s="6" t="s">
        <v>529</v>
      </c>
      <c r="G58" s="33" t="s">
        <v>459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 t="s">
        <v>536</v>
      </c>
      <c r="B59" s="20" t="s">
        <v>538</v>
      </c>
      <c r="C59" s="26" t="s">
        <v>429</v>
      </c>
      <c r="D59" s="6">
        <v>10202</v>
      </c>
      <c r="E59" s="6" t="s">
        <v>235</v>
      </c>
      <c r="F59" s="6" t="s">
        <v>533</v>
      </c>
      <c r="G59" s="33" t="s">
        <v>480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537</v>
      </c>
      <c r="B60" s="20" t="s">
        <v>539</v>
      </c>
      <c r="C60" s="26"/>
      <c r="D60" s="6">
        <v>10202</v>
      </c>
      <c r="E60" s="6" t="s">
        <v>235</v>
      </c>
      <c r="F60" s="6" t="s">
        <v>540</v>
      </c>
      <c r="G60" s="33" t="s">
        <v>476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10203</v>
      </c>
      <c r="B61" s="20" t="s">
        <v>409</v>
      </c>
      <c r="C61" s="26" t="s">
        <v>430</v>
      </c>
      <c r="D61" s="6">
        <v>10203</v>
      </c>
      <c r="E61" s="6" t="s">
        <v>211</v>
      </c>
      <c r="F61" s="6" t="s">
        <v>603</v>
      </c>
      <c r="G61" s="33" t="s">
        <v>559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10204</v>
      </c>
      <c r="B62" s="20" t="s">
        <v>543</v>
      </c>
      <c r="C62" s="26" t="s">
        <v>337</v>
      </c>
      <c r="D62" s="6">
        <v>10204</v>
      </c>
      <c r="E62" s="6" t="s">
        <v>235</v>
      </c>
      <c r="F62" s="6" t="s">
        <v>256</v>
      </c>
      <c r="G62" s="33" t="s">
        <v>463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10205</v>
      </c>
      <c r="B63" s="20" t="s">
        <v>347</v>
      </c>
      <c r="C63" s="26" t="s">
        <v>372</v>
      </c>
      <c r="D63" s="6">
        <v>10205</v>
      </c>
      <c r="E63" s="6" t="s">
        <v>235</v>
      </c>
      <c r="F63" s="6" t="s">
        <v>546</v>
      </c>
      <c r="G63" s="33" t="s">
        <v>463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10206</v>
      </c>
      <c r="B64" s="20" t="s">
        <v>410</v>
      </c>
      <c r="C64" s="26" t="s">
        <v>431</v>
      </c>
      <c r="D64" s="6">
        <v>10206</v>
      </c>
      <c r="E64" s="6" t="s">
        <v>235</v>
      </c>
      <c r="F64" s="6" t="s">
        <v>549</v>
      </c>
      <c r="G64" s="33" t="s">
        <v>494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10207</v>
      </c>
      <c r="B65" s="20" t="s">
        <v>554</v>
      </c>
      <c r="C65" s="26" t="s">
        <v>456</v>
      </c>
      <c r="D65" s="6">
        <v>10207</v>
      </c>
      <c r="E65" s="6" t="s">
        <v>235</v>
      </c>
      <c r="F65" s="6" t="s">
        <v>552</v>
      </c>
      <c r="G65" s="33" t="s">
        <v>556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10208</v>
      </c>
      <c r="B66" s="20" t="s">
        <v>411</v>
      </c>
      <c r="C66" s="26" t="s">
        <v>432</v>
      </c>
      <c r="D66" s="6">
        <v>10208</v>
      </c>
      <c r="E66" s="6" t="s">
        <v>235</v>
      </c>
      <c r="F66" s="6" t="s">
        <v>540</v>
      </c>
      <c r="G66" s="33" t="s">
        <v>466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10209</v>
      </c>
      <c r="B67" s="20" t="s">
        <v>412</v>
      </c>
      <c r="C67" s="26" t="s">
        <v>433</v>
      </c>
      <c r="D67" s="6">
        <v>10209</v>
      </c>
      <c r="E67" s="6" t="s">
        <v>235</v>
      </c>
      <c r="F67" s="6" t="s">
        <v>448</v>
      </c>
      <c r="G67" s="33" t="s">
        <v>557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10210</v>
      </c>
      <c r="B68" s="20" t="s">
        <v>413</v>
      </c>
      <c r="C68" s="26" t="s">
        <v>350</v>
      </c>
      <c r="D68" s="6">
        <v>10210</v>
      </c>
      <c r="E68" s="6" t="s">
        <v>211</v>
      </c>
      <c r="F68" s="6" t="s">
        <v>603</v>
      </c>
      <c r="G68" s="33" t="s">
        <v>558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10211</v>
      </c>
      <c r="B69" s="20" t="s">
        <v>414</v>
      </c>
      <c r="C69" s="26" t="s">
        <v>560</v>
      </c>
      <c r="D69" s="6">
        <v>10211</v>
      </c>
      <c r="E69" s="6" t="s">
        <v>211</v>
      </c>
      <c r="F69" s="6" t="s">
        <v>603</v>
      </c>
      <c r="G69" s="33" t="s">
        <v>559</v>
      </c>
      <c r="H69" s="15">
        <v>1</v>
      </c>
      <c r="I69" s="6" t="s">
        <v>470</v>
      </c>
      <c r="J69" s="18">
        <v>-20</v>
      </c>
      <c r="K69" s="15">
        <v>1</v>
      </c>
      <c r="L69" s="6" t="s">
        <v>467</v>
      </c>
      <c r="M69" s="18">
        <v>-20</v>
      </c>
      <c r="N69" s="15">
        <v>1</v>
      </c>
    </row>
    <row r="70" spans="1:14">
      <c r="C70" s="26"/>
      <c r="D70" s="6"/>
      <c r="E70" s="6"/>
      <c r="F70" s="6"/>
      <c r="G70" s="33"/>
      <c r="H70" s="15"/>
      <c r="I70" s="6"/>
      <c r="J70" s="18"/>
      <c r="K70" s="15"/>
      <c r="L70" s="6"/>
      <c r="M70" s="18"/>
      <c r="N70" s="15"/>
    </row>
    <row r="71" spans="1:14">
      <c r="B71" s="20" t="s">
        <v>415</v>
      </c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A72" s="6">
        <v>10301</v>
      </c>
      <c r="B72" s="20" t="s">
        <v>416</v>
      </c>
      <c r="C72" s="26" t="s">
        <v>357</v>
      </c>
      <c r="D72" s="6">
        <v>10301</v>
      </c>
      <c r="E72" s="6" t="s">
        <v>235</v>
      </c>
      <c r="F72" s="6" t="s">
        <v>561</v>
      </c>
      <c r="G72" s="33" t="s">
        <v>494</v>
      </c>
      <c r="H72" s="15">
        <v>1</v>
      </c>
      <c r="I72" s="6"/>
      <c r="J72" s="18"/>
      <c r="K72" s="15"/>
      <c r="L72" s="6"/>
      <c r="M72" s="18"/>
      <c r="N72" s="15"/>
    </row>
    <row r="73" spans="1:14">
      <c r="A73" s="6">
        <v>10302</v>
      </c>
      <c r="B73" s="20" t="s">
        <v>417</v>
      </c>
      <c r="C73" s="26" t="s">
        <v>434</v>
      </c>
      <c r="D73" s="6">
        <v>10302</v>
      </c>
      <c r="E73" s="6" t="s">
        <v>235</v>
      </c>
      <c r="F73" s="6" t="s">
        <v>564</v>
      </c>
      <c r="G73" s="33" t="s">
        <v>567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10303</v>
      </c>
      <c r="B74" s="20" t="s">
        <v>418</v>
      </c>
      <c r="C74" s="26" t="s">
        <v>435</v>
      </c>
      <c r="D74" s="6">
        <v>10303</v>
      </c>
      <c r="E74" s="6" t="s">
        <v>235</v>
      </c>
      <c r="F74" s="6" t="s">
        <v>568</v>
      </c>
      <c r="G74" s="33" t="s">
        <v>480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10304</v>
      </c>
      <c r="B75" s="20" t="s">
        <v>419</v>
      </c>
      <c r="C75" s="26" t="s">
        <v>436</v>
      </c>
      <c r="D75" s="6">
        <v>10304</v>
      </c>
      <c r="E75" s="6" t="s">
        <v>211</v>
      </c>
      <c r="F75" s="6" t="s">
        <v>603</v>
      </c>
      <c r="G75" s="33" t="s">
        <v>544</v>
      </c>
      <c r="H75" s="15">
        <v>1</v>
      </c>
      <c r="I75" s="6" t="s">
        <v>571</v>
      </c>
      <c r="J75" s="33" t="s">
        <v>581</v>
      </c>
      <c r="K75" s="15">
        <v>1</v>
      </c>
      <c r="L75" s="6"/>
      <c r="M75" s="18"/>
      <c r="N75" s="15"/>
    </row>
    <row r="76" spans="1:14">
      <c r="A76" s="6">
        <v>10305</v>
      </c>
      <c r="B76" s="20" t="s">
        <v>420</v>
      </c>
      <c r="C76" s="26" t="s">
        <v>437</v>
      </c>
      <c r="D76" s="6">
        <v>10305</v>
      </c>
      <c r="E76" s="6" t="s">
        <v>235</v>
      </c>
      <c r="F76" s="6" t="s">
        <v>576</v>
      </c>
      <c r="G76" s="33" t="s">
        <v>480</v>
      </c>
      <c r="H76" s="15">
        <v>1</v>
      </c>
      <c r="I76" s="6" t="s">
        <v>573</v>
      </c>
      <c r="J76" s="18">
        <v>1</v>
      </c>
      <c r="K76" s="15">
        <v>1</v>
      </c>
      <c r="L76" s="6"/>
      <c r="M76" s="18"/>
      <c r="N76" s="15"/>
    </row>
    <row r="77" spans="1:14">
      <c r="A77" s="6">
        <v>10306</v>
      </c>
      <c r="B77" s="20" t="s">
        <v>421</v>
      </c>
      <c r="C77" s="26" t="s">
        <v>438</v>
      </c>
      <c r="D77" s="6">
        <v>10306</v>
      </c>
      <c r="E77" s="6" t="s">
        <v>235</v>
      </c>
      <c r="F77" s="6" t="s">
        <v>579</v>
      </c>
      <c r="G77" s="33" t="s">
        <v>584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10307</v>
      </c>
      <c r="B78" s="20" t="s">
        <v>422</v>
      </c>
      <c r="C78" s="26" t="s">
        <v>585</v>
      </c>
      <c r="D78" s="6">
        <v>10307</v>
      </c>
      <c r="E78" s="6" t="s">
        <v>235</v>
      </c>
      <c r="F78" s="6" t="s">
        <v>587</v>
      </c>
      <c r="G78" s="33" t="s">
        <v>494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10308</v>
      </c>
      <c r="B79" s="20" t="s">
        <v>423</v>
      </c>
      <c r="C79" s="26" t="s">
        <v>439</v>
      </c>
      <c r="D79" s="6">
        <v>10308</v>
      </c>
      <c r="E79" s="6" t="s">
        <v>235</v>
      </c>
      <c r="F79" s="6" t="s">
        <v>230</v>
      </c>
      <c r="G79" s="33" t="s">
        <v>459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10309</v>
      </c>
      <c r="B80" s="20" t="s">
        <v>424</v>
      </c>
      <c r="C80" s="26" t="s">
        <v>440</v>
      </c>
      <c r="D80" s="6">
        <v>10309</v>
      </c>
      <c r="E80" s="6" t="s">
        <v>235</v>
      </c>
      <c r="F80" s="6" t="s">
        <v>590</v>
      </c>
      <c r="G80" s="33" t="s">
        <v>463</v>
      </c>
      <c r="H80" s="15">
        <v>1</v>
      </c>
      <c r="I80" s="6" t="s">
        <v>238</v>
      </c>
      <c r="J80" s="18">
        <v>10</v>
      </c>
      <c r="K80" s="15">
        <v>1</v>
      </c>
      <c r="L80" s="6"/>
      <c r="M80" s="18"/>
      <c r="N80" s="15"/>
    </row>
    <row r="81" spans="1:14">
      <c r="A81" s="6">
        <v>10310</v>
      </c>
      <c r="B81" s="20" t="s">
        <v>600</v>
      </c>
      <c r="C81" s="26" t="s">
        <v>441</v>
      </c>
      <c r="D81" s="6">
        <v>10310</v>
      </c>
      <c r="E81" s="6" t="s">
        <v>235</v>
      </c>
      <c r="F81" s="6" t="s">
        <v>596</v>
      </c>
      <c r="G81" s="33" t="s">
        <v>599</v>
      </c>
      <c r="H81" s="15">
        <v>1</v>
      </c>
      <c r="I81" s="6" t="s">
        <v>593</v>
      </c>
      <c r="J81" s="33" t="s">
        <v>544</v>
      </c>
      <c r="K81" s="15">
        <v>1</v>
      </c>
      <c r="L81" s="6"/>
      <c r="M81" s="18"/>
      <c r="N81" s="15"/>
    </row>
    <row r="86" spans="1:14">
      <c r="A8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R3:R1048576 F3:F1048576 U3:U1048576 O3:O1048576 X3:X1048576 L3:L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zoomScaleNormal="100" workbookViewId="0">
      <selection activeCell="A15" sqref="A15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273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378</v>
      </c>
      <c r="H9" s="3" t="s">
        <v>76</v>
      </c>
      <c r="I9" s="3" t="s">
        <v>289</v>
      </c>
      <c r="J9" s="3" t="s">
        <v>76</v>
      </c>
    </row>
    <row r="10" spans="1:13">
      <c r="A10" s="35" t="s">
        <v>604</v>
      </c>
      <c r="B10" s="9" t="s">
        <v>601</v>
      </c>
      <c r="C10" t="s">
        <v>113</v>
      </c>
      <c r="D10" t="s">
        <v>114</v>
      </c>
      <c r="E10" t="s">
        <v>197</v>
      </c>
      <c r="F10" t="s">
        <v>195</v>
      </c>
      <c r="G10" t="s">
        <v>383</v>
      </c>
      <c r="H10" t="s">
        <v>379</v>
      </c>
      <c r="I10" t="s">
        <v>291</v>
      </c>
      <c r="J10" t="s">
        <v>374</v>
      </c>
      <c r="M10" t="str">
        <f>A10&amp;"= """ &amp; A10 &amp;""" // "&amp;SUBSTITUTE(B10, CHAR(10), ",")</f>
        <v>PDmg= "PDmg" // 造成物理傷害,數值是造成多少傷害</v>
      </c>
    </row>
    <row r="11" spans="1:13">
      <c r="A11" s="35" t="s">
        <v>605</v>
      </c>
      <c r="B11" s="9" t="s">
        <v>602</v>
      </c>
      <c r="C11" t="s">
        <v>115</v>
      </c>
      <c r="D11" t="s">
        <v>116</v>
      </c>
      <c r="E11" t="s">
        <v>198</v>
      </c>
      <c r="F11" t="s">
        <v>196</v>
      </c>
      <c r="G11" t="s">
        <v>289</v>
      </c>
      <c r="H11" t="s">
        <v>380</v>
      </c>
      <c r="I11" t="s">
        <v>293</v>
      </c>
      <c r="J11" t="s">
        <v>375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s="35" t="s">
        <v>117</v>
      </c>
      <c r="B12" s="9" t="s">
        <v>445</v>
      </c>
      <c r="E12" t="s">
        <v>299</v>
      </c>
      <c r="F12" t="s">
        <v>300</v>
      </c>
      <c r="I12" t="s">
        <v>295</v>
      </c>
      <c r="J12" t="s">
        <v>376</v>
      </c>
      <c r="M12" t="str">
        <f t="shared" si="0"/>
        <v>RestoreHP= "RestoreHP" // 恢復生命,數值是恢復多少生命</v>
      </c>
    </row>
    <row r="13" spans="1:13">
      <c r="A13" s="35" t="s">
        <v>123</v>
      </c>
      <c r="B13" s="9" t="s">
        <v>446</v>
      </c>
      <c r="I13" t="s">
        <v>297</v>
      </c>
      <c r="J13" t="s">
        <v>377</v>
      </c>
      <c r="M13" t="str">
        <f t="shared" si="0"/>
        <v>RestoreVigor= "RestoreVigor" // 恢復體力,數值是恢復多少體力</v>
      </c>
    </row>
    <row r="14" spans="1:13" ht="31.5">
      <c r="A14" s="35" t="s">
        <v>447</v>
      </c>
      <c r="B14" s="9" t="s">
        <v>619</v>
      </c>
      <c r="M14" t="str">
        <f t="shared" si="0"/>
        <v>RegenHP= "RegenHP" // [Buffer]隨時間回復生命,數值填5,3代表每秒恢復5生命持續3秒(賦予時會立即觸發1次)</v>
      </c>
    </row>
    <row r="15" spans="1:13" ht="31.5">
      <c r="A15" s="35" t="s">
        <v>448</v>
      </c>
      <c r="B15" s="9" t="s">
        <v>620</v>
      </c>
      <c r="M15" t="str">
        <f t="shared" si="0"/>
        <v>RegenVigor= "RegenVigor" // [Buffer]隨時間回復體力,數值填5,3代表每秒恢復5體力持續3秒(賦予時會立即觸發1次)</v>
      </c>
    </row>
    <row r="16" spans="1:13" ht="31.5">
      <c r="A16" s="36" t="s">
        <v>118</v>
      </c>
      <c r="B16" s="9" t="s">
        <v>458</v>
      </c>
      <c r="M16" t="str">
        <f t="shared" si="0"/>
        <v>Dizzy= "Dizzy" // [Buffer]暈眩,無法移動,無法施放立即技能, 層數是持續時間</v>
      </c>
    </row>
    <row r="17" spans="1:13" ht="31.5">
      <c r="A17" s="35" t="s">
        <v>119</v>
      </c>
      <c r="B17" s="9" t="s">
        <v>621</v>
      </c>
      <c r="M17" t="str">
        <f t="shared" si="0"/>
        <v>Poison= "Poison" // [Buffer]中毒,持續受到層數傷害直到戰鬥結束(賦予時會立即觸發1次)</v>
      </c>
    </row>
    <row r="18" spans="1:13" ht="31.5">
      <c r="A18" s="35" t="s">
        <v>120</v>
      </c>
      <c r="B18" s="9" t="s">
        <v>267</v>
      </c>
      <c r="M18" t="str">
        <f t="shared" si="0"/>
        <v>Bleeding= "Bleeding" // [Buffer]流血,受到攻擊額外受到層數傷害直到戰鬥結束</v>
      </c>
    </row>
    <row r="19" spans="1:13" ht="47.25">
      <c r="A19" s="35" t="s">
        <v>127</v>
      </c>
      <c r="B19" s="9" t="s">
        <v>622</v>
      </c>
      <c r="M19" t="str">
        <f t="shared" si="0"/>
        <v>Burning= "Burning" // [Buffer]著火,每秒受到層數傷害直到層數歸0, 每次受到傷害後層數減半(賦予時會立即觸發1次)</v>
      </c>
    </row>
    <row r="20" spans="1:13" ht="31.5">
      <c r="A20" t="s">
        <v>128</v>
      </c>
      <c r="B20" s="9" t="s">
        <v>268</v>
      </c>
      <c r="M20" t="str">
        <f t="shared" si="0"/>
        <v>Fearing= "Fearing" // [Buffer]恐懼,往後逃跑, 層數是持續時間</v>
      </c>
    </row>
    <row r="21" spans="1:13" ht="31.5">
      <c r="A21" s="35" t="s">
        <v>130</v>
      </c>
      <c r="B21" s="9" t="s">
        <v>623</v>
      </c>
      <c r="M21" t="str">
        <f t="shared" si="0"/>
        <v>Vulnerable= "Vulnerable" // [Buffer]無力,傷害減少30%, 層數是持續時間</v>
      </c>
    </row>
    <row r="22" spans="1:13" ht="31.5">
      <c r="A22" s="35" t="s">
        <v>121</v>
      </c>
      <c r="B22" s="9" t="s">
        <v>269</v>
      </c>
      <c r="M22" t="str">
        <f t="shared" si="0"/>
        <v>Weak= "Weak" // [Buffer]虛弱,防禦減少30%, 層數是持續時間</v>
      </c>
    </row>
    <row r="23" spans="1:13" ht="31.5">
      <c r="A23" s="35" t="s">
        <v>129</v>
      </c>
      <c r="B23" s="9" t="s">
        <v>270</v>
      </c>
      <c r="M23" t="str">
        <f t="shared" si="0"/>
        <v>Fatigue= "Fatigue" // [Buffer]疲勞,體力回復減少50%, 層數是持續時間</v>
      </c>
    </row>
    <row r="24" spans="1:13" ht="31.5">
      <c r="A24" s="35" t="s">
        <v>122</v>
      </c>
      <c r="B24" s="9" t="s">
        <v>271</v>
      </c>
      <c r="M24" t="str">
        <f t="shared" si="0"/>
        <v>Protection= "Protection" // [Buffer]加護,受到的傷害減少30%, 層數是持續時間</v>
      </c>
    </row>
    <row r="25" spans="1:13" ht="31.5">
      <c r="A25" t="s">
        <v>482</v>
      </c>
      <c r="B25" s="9" t="s">
        <v>485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484</v>
      </c>
      <c r="B26" s="9" t="s">
        <v>486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519</v>
      </c>
      <c r="B27" s="9" t="s">
        <v>606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256</v>
      </c>
      <c r="B30" s="9" t="s">
        <v>272</v>
      </c>
      <c r="M30" t="str">
        <f t="shared" si="0"/>
        <v>Enraged= "Enraged" // [Buffer]激怒,強制進入突擊狀態, 層數是持續時間</v>
      </c>
    </row>
    <row r="31" spans="1:13" ht="31.5">
      <c r="A31" t="s">
        <v>443</v>
      </c>
      <c r="B31" s="9" t="s">
        <v>444</v>
      </c>
      <c r="M31" t="str">
        <f t="shared" si="0"/>
        <v>Block= "Block" // 格檔,格檔對手的攻擊</v>
      </c>
    </row>
    <row r="32" spans="1:13" ht="31.5">
      <c r="A32" s="35" t="s">
        <v>471</v>
      </c>
      <c r="B32" s="9" t="s">
        <v>472</v>
      </c>
      <c r="M32" t="str">
        <f t="shared" si="0"/>
        <v>PDefUp= "PDefUp" // [Buffer]物防提升,數值填5,3代表提升5持續3秒</v>
      </c>
    </row>
    <row r="33" spans="1:13" ht="31.5">
      <c r="A33" s="35" t="s">
        <v>468</v>
      </c>
      <c r="B33" s="9" t="s">
        <v>473</v>
      </c>
      <c r="M33" t="str">
        <f t="shared" si="0"/>
        <v>MDefUp= "MDefUp" // [Buffer]魔防提升,數值填5,3代表提升5持續3秒</v>
      </c>
    </row>
    <row r="34" spans="1:13" ht="31.5">
      <c r="A34" s="35" t="s">
        <v>541</v>
      </c>
      <c r="B34" s="9" t="s">
        <v>542</v>
      </c>
      <c r="M34" t="str">
        <f t="shared" si="0"/>
        <v>StrUp= "StrUp" // [Buffer]力量提升,數值填5,3代表提升5持續3秒</v>
      </c>
    </row>
    <row r="35" spans="1:13" ht="31.5">
      <c r="A35" s="35" t="s">
        <v>630</v>
      </c>
      <c r="B35" s="9" t="s">
        <v>631</v>
      </c>
      <c r="M35" t="str">
        <f t="shared" ref="M35" si="1">A35&amp;"= """ &amp; A35 &amp;""" // "&amp;SUBSTITUTE(B35, CHAR(10), ",")</f>
        <v>KnockbackUp= "KnockbackUp" // [Buffer]擊退提升,數值填5,3代表提升5持續3秒</v>
      </c>
    </row>
    <row r="36" spans="1:13" ht="31.5">
      <c r="A36" s="35" t="s">
        <v>478</v>
      </c>
      <c r="B36" s="9" t="s">
        <v>479</v>
      </c>
      <c r="M36" t="str">
        <f t="shared" si="0"/>
        <v>Purge= "Purge" // 淨化,移除所有負面效果</v>
      </c>
    </row>
    <row r="37" spans="1:13" ht="31.5">
      <c r="A37" s="35" t="s">
        <v>489</v>
      </c>
      <c r="B37" s="9" t="s">
        <v>490</v>
      </c>
      <c r="M37" t="str">
        <f t="shared" si="0"/>
        <v>Barrier= "Barrier" // [Buffer]不動,無法被擊退, 層數是持續時間</v>
      </c>
    </row>
    <row r="38" spans="1:13" ht="31.5">
      <c r="A38" s="35" t="s">
        <v>492</v>
      </c>
      <c r="B38" s="9" t="s">
        <v>493</v>
      </c>
      <c r="M38" t="str">
        <f t="shared" si="0"/>
        <v>Poisoning= "Poisoning" // [Buffer]淬毒,攻擊會造成中毒, 層數是持續時間</v>
      </c>
    </row>
    <row r="39" spans="1:13" ht="31.5">
      <c r="A39" s="35" t="s">
        <v>500</v>
      </c>
      <c r="B39" s="9" t="s">
        <v>496</v>
      </c>
      <c r="M39" t="str">
        <f t="shared" si="0"/>
        <v>ComboAttack= "ComboAttack" // [Buffer]連擊,額外技能攻擊次數, 層數是額外次數</v>
      </c>
    </row>
    <row r="40" spans="1:13" ht="47.25">
      <c r="A40" s="35" t="s">
        <v>502</v>
      </c>
      <c r="B40" s="9" t="s">
        <v>607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s="35" t="s">
        <v>506</v>
      </c>
      <c r="B41" s="9" t="s">
        <v>624</v>
      </c>
      <c r="M41" t="str">
        <f t="shared" si="0"/>
        <v>CriticalUp= "CriticalUp" // [Buffer]爆擊提升,數值填0.5,3代表提升50%持續3秒</v>
      </c>
    </row>
    <row r="42" spans="1:13">
      <c r="A42" s="35" t="s">
        <v>627</v>
      </c>
      <c r="B42" s="9" t="s">
        <v>628</v>
      </c>
      <c r="M42" t="str">
        <f t="shared" si="0"/>
        <v>Condition_SkillVigorBelow= "Condition_SkillVigorBelow" // 觸發條件-技能耗體在X以下(包含X)觸發</v>
      </c>
    </row>
    <row r="43" spans="1:13">
      <c r="A43" t="s">
        <v>515</v>
      </c>
      <c r="B43" s="9" t="s">
        <v>531</v>
      </c>
      <c r="M43" t="str">
        <f t="shared" si="0"/>
        <v>Condition_FirstAttack= "Condition_FirstAttack" // 觸發條件-比對手先攻</v>
      </c>
    </row>
    <row r="44" spans="1:13">
      <c r="A44" t="s">
        <v>530</v>
      </c>
      <c r="B44" s="9" t="s">
        <v>532</v>
      </c>
      <c r="M44" t="str">
        <f t="shared" si="0"/>
        <v>Condition_Charge= "Condition_Charge" // 觸發條件-蓄力X秒後觸發</v>
      </c>
    </row>
    <row r="45" spans="1:13">
      <c r="A45" t="s">
        <v>526</v>
      </c>
      <c r="B45" s="9" t="s">
        <v>527</v>
      </c>
      <c r="M45" t="str">
        <f t="shared" si="0"/>
        <v>Dodge_RangeAttack= "Dodge_RangeAttack" // 迴避對手遠程攻擊, 層數是次數</v>
      </c>
    </row>
    <row r="46" spans="1:13" ht="31.5">
      <c r="A46" s="35" t="s">
        <v>523</v>
      </c>
      <c r="B46" s="9" t="s">
        <v>524</v>
      </c>
      <c r="M46" t="str">
        <f t="shared" si="0"/>
        <v>InitUp= "InitUp" // [Buffer]先攻提升,數值填5,3代表提升5持續3秒</v>
      </c>
    </row>
    <row r="47" spans="1:13">
      <c r="A47" t="s">
        <v>534</v>
      </c>
      <c r="B47" s="9" t="s">
        <v>535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577</v>
      </c>
      <c r="B48" s="9" t="s">
        <v>578</v>
      </c>
      <c r="M48" t="str">
        <f t="shared" si="0"/>
        <v>TriggerEffect_Time= "TriggerEffect_Time" // 觸發效果-每一段時間觸發, 數值填秒數</v>
      </c>
    </row>
    <row r="49" spans="1:13">
      <c r="A49" t="s">
        <v>591</v>
      </c>
      <c r="B49" s="9" t="s">
        <v>592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597</v>
      </c>
      <c r="B50" s="9" t="s">
        <v>598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s="35" t="s">
        <v>547</v>
      </c>
      <c r="B51" s="9" t="s">
        <v>548</v>
      </c>
      <c r="M51" t="str">
        <f t="shared" si="0"/>
        <v>Indomitable= "Indomitable" // [Buffer]不屈,免疫行動控制類的負面效果</v>
      </c>
    </row>
    <row r="52" spans="1:13" ht="31.5">
      <c r="A52" s="35" t="s">
        <v>550</v>
      </c>
      <c r="B52" s="9" t="s">
        <v>551</v>
      </c>
      <c r="M52" t="str">
        <f t="shared" si="0"/>
        <v>Berserk= "Berserk" // [Buffer]狂暴,進入無法控制的狂暴狀態, 力量上升50%, 數值是持續時間</v>
      </c>
    </row>
    <row r="53" spans="1:13" ht="31.5">
      <c r="A53" s="35" t="s">
        <v>553</v>
      </c>
      <c r="B53" s="9" t="s">
        <v>555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562</v>
      </c>
      <c r="B54" s="9" t="s">
        <v>563</v>
      </c>
      <c r="M54" t="str">
        <f t="shared" si="0"/>
        <v>Chaos= "Chaos" // [Buffer]混沌,技能牌不會按照順序發牌, 數值填持續秒數</v>
      </c>
    </row>
    <row r="55" spans="1:13" ht="63">
      <c r="A55" t="s">
        <v>565</v>
      </c>
      <c r="B55" s="9" t="s">
        <v>566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569</v>
      </c>
      <c r="B56" s="9" t="s">
        <v>570</v>
      </c>
      <c r="M56" t="str">
        <f t="shared" si="0"/>
        <v>Shuffle= "Shuffle" // 洗牌,重洗目前的技能卡回牌庫並隨機抽回手牌</v>
      </c>
    </row>
    <row r="57" spans="1:13" ht="78.75">
      <c r="A57" t="s">
        <v>572</v>
      </c>
      <c r="B57" s="9" t="s">
        <v>583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574</v>
      </c>
      <c r="B58" s="9" t="s">
        <v>575</v>
      </c>
      <c r="M58" t="str">
        <f t="shared" si="0"/>
        <v>Fortune= "Fortune" // 財富,獲得遊戲幣, 數值是增加值</v>
      </c>
    </row>
    <row r="59" spans="1:13" ht="47.25">
      <c r="A59" t="s">
        <v>580</v>
      </c>
      <c r="B59" s="9" t="s">
        <v>582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588</v>
      </c>
      <c r="B60" s="9" t="s">
        <v>589</v>
      </c>
      <c r="M60" t="str">
        <f t="shared" si="0"/>
        <v>Intuition= "Intuition" // 直覺,顯示對手手牌技能, 數值填秒數</v>
      </c>
    </row>
    <row r="61" spans="1:13" ht="31.5">
      <c r="A61" t="s">
        <v>594</v>
      </c>
      <c r="B61" s="9" t="s">
        <v>595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2">A75&amp;"= """ &amp; A75 &amp;""" // "&amp;SUBSTITUTE(B75, CHAR(10), ",")</f>
        <v xml:space="preserve">= "" // </v>
      </c>
    </row>
    <row r="76" spans="13:13">
      <c r="M76" t="str">
        <f t="shared" si="2"/>
        <v xml:space="preserve">= "" // </v>
      </c>
    </row>
    <row r="77" spans="13:13">
      <c r="M77" t="str">
        <f t="shared" si="2"/>
        <v xml:space="preserve">= "" // </v>
      </c>
    </row>
    <row r="78" spans="13:13">
      <c r="M78" t="str">
        <f t="shared" si="2"/>
        <v xml:space="preserve">= "" // </v>
      </c>
    </row>
    <row r="79" spans="13:13">
      <c r="M79" t="str">
        <f t="shared" si="2"/>
        <v xml:space="preserve">= "" // </v>
      </c>
    </row>
    <row r="80" spans="13:13">
      <c r="M80" t="str">
        <f t="shared" si="2"/>
        <v xml:space="preserve">= "" // </v>
      </c>
    </row>
    <row r="81" spans="13:13">
      <c r="M81" t="str">
        <f t="shared" si="2"/>
        <v xml:space="preserve">= "" // </v>
      </c>
    </row>
    <row r="82" spans="13:13">
      <c r="M82" t="str">
        <f t="shared" si="2"/>
        <v xml:space="preserve">= "" // </v>
      </c>
    </row>
    <row r="83" spans="13:13">
      <c r="M83" t="str">
        <f t="shared" si="2"/>
        <v xml:space="preserve">= "" // </v>
      </c>
    </row>
    <row r="84" spans="13:13">
      <c r="M84" t="str">
        <f t="shared" si="2"/>
        <v xml:space="preserve">= "" // </v>
      </c>
    </row>
    <row r="85" spans="13:13">
      <c r="M85" t="str">
        <f t="shared" si="2"/>
        <v xml:space="preserve">= "" // </v>
      </c>
    </row>
    <row r="86" spans="13:13">
      <c r="M86" t="str">
        <f t="shared" si="2"/>
        <v xml:space="preserve">= "" // </v>
      </c>
    </row>
    <row r="87" spans="13:13">
      <c r="M87" t="str">
        <f t="shared" si="2"/>
        <v xml:space="preserve">= "" // </v>
      </c>
    </row>
    <row r="88" spans="13:13">
      <c r="M88" t="str">
        <f t="shared" si="2"/>
        <v xml:space="preserve">= "" // </v>
      </c>
    </row>
    <row r="89" spans="13:13">
      <c r="M89" t="str">
        <f t="shared" si="2"/>
        <v xml:space="preserve">= "" // </v>
      </c>
    </row>
    <row r="90" spans="13:13">
      <c r="M90" t="str">
        <f t="shared" si="2"/>
        <v xml:space="preserve">= "" // </v>
      </c>
    </row>
    <row r="91" spans="13:13">
      <c r="M91" t="str">
        <f t="shared" si="2"/>
        <v xml:space="preserve">= "" // </v>
      </c>
    </row>
    <row r="92" spans="13:13">
      <c r="M92" t="str">
        <f t="shared" si="2"/>
        <v xml:space="preserve">= "" // </v>
      </c>
    </row>
    <row r="93" spans="13:13">
      <c r="M93" t="str">
        <f t="shared" si="2"/>
        <v xml:space="preserve">= "" // </v>
      </c>
    </row>
    <row r="94" spans="13:13">
      <c r="M94" t="str">
        <f t="shared" si="2"/>
        <v xml:space="preserve">= "" // </v>
      </c>
    </row>
    <row r="95" spans="13:13">
      <c r="M95" t="str">
        <f t="shared" si="2"/>
        <v xml:space="preserve">= "" // </v>
      </c>
    </row>
    <row r="96" spans="13:13">
      <c r="M96" t="str">
        <f t="shared" si="2"/>
        <v xml:space="preserve">= "" // </v>
      </c>
    </row>
    <row r="97" spans="13:13">
      <c r="M97" t="str">
        <f t="shared" si="2"/>
        <v xml:space="preserve">= "" // </v>
      </c>
    </row>
    <row r="98" spans="13:13">
      <c r="M98" t="str">
        <f t="shared" si="2"/>
        <v xml:space="preserve">= "" // </v>
      </c>
    </row>
    <row r="99" spans="13:13">
      <c r="M99" t="str">
        <f t="shared" si="2"/>
        <v xml:space="preserve">= "" // </v>
      </c>
    </row>
    <row r="100" spans="13:13">
      <c r="M100" t="str">
        <f t="shared" si="2"/>
        <v xml:space="preserve">= "" // </v>
      </c>
    </row>
    <row r="101" spans="13:13">
      <c r="M101" t="str">
        <f t="shared" si="2"/>
        <v xml:space="preserve">= "" // </v>
      </c>
    </row>
    <row r="102" spans="13:13">
      <c r="M102" t="str">
        <f t="shared" si="2"/>
        <v xml:space="preserve">= "" // </v>
      </c>
    </row>
    <row r="103" spans="13:13">
      <c r="M103" t="str">
        <f t="shared" si="2"/>
        <v xml:space="preserve">= "" // </v>
      </c>
    </row>
    <row r="104" spans="13:13">
      <c r="M104" t="str">
        <f t="shared" si="2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2024-07-21T14:37:48Z</dcterms:modified>
</cp:coreProperties>
</file>