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7B8B3E27-2002-4E67-9111-D8B2F90D1338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OFFSET(Setting!$E$10:$E$64,,,COUNTA(Setting!$E$10:$E$64))</definedName>
    <definedName name="Divine">OFFSET(Setting!$I$10:$I$64,,,COUNTA(Setting!$I$10:$I$64))</definedName>
    <definedName name="EffectType">OFFSET(Setting!$A$10:$A$67,,,COUNTA(Setting!$A$10:$A$67))</definedName>
    <definedName name="Target">OFFSET(Setting!$C$10:$C$64,,,COUNTA(Setting!$C$10:$C$64))</definedName>
    <definedName name="Type">OFFSET(Setting!$G$10:$G$64,,,COUNTA(Setting!$G$10:$G$64))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7" l="1"/>
  <c r="K12" i="7"/>
  <c r="L10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L11" i="7"/>
  <c r="L13" i="7"/>
  <c r="L14" i="7"/>
  <c r="L21" i="7"/>
  <c r="L15" i="7"/>
  <c r="L16" i="7"/>
  <c r="L22" i="7"/>
  <c r="L17" i="7"/>
  <c r="L18" i="7"/>
  <c r="L19" i="7"/>
  <c r="L20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K54" i="7"/>
  <c r="K60" i="7"/>
  <c r="K59" i="7"/>
  <c r="K57" i="7"/>
  <c r="K56" i="7"/>
  <c r="K55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62" i="7"/>
  <c r="K61" i="7"/>
  <c r="K20" i="7"/>
  <c r="K23" i="7"/>
  <c r="K19" i="7"/>
  <c r="K18" i="7"/>
  <c r="K58" i="7"/>
  <c r="K25" i="7"/>
  <c r="K17" i="7"/>
  <c r="K22" i="7"/>
  <c r="K24" i="7"/>
  <c r="K16" i="7"/>
  <c r="K15" i="7"/>
  <c r="K21" i="7"/>
  <c r="K14" i="7"/>
  <c r="K13" i="7"/>
  <c r="K11" i="7"/>
  <c r="K10" i="7"/>
</calcChain>
</file>

<file path=xl/sharedStrings.xml><?xml version="1.0" encoding="utf-8"?>
<sst xmlns="http://schemas.openxmlformats.org/spreadsheetml/2006/main" count="1139" uniqueCount="638">
  <si>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</si>
  <si>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</si>
  <si>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</si>
  <si>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</si>
  <si>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</si>
  <si>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</si>
  <si>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</si>
  <si>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</si>
  <si>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</si>
  <si>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</si>
  <si>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</si>
  <si>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</si>
  <si>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</si>
  <si>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</si>
  <si>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</si>
  <si>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</si>
  <si>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</si>
  <si>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</si>
  <si>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</si>
  <si>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</si>
  <si>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</si>
  <si>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</si>
  <si>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</si>
  <si>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</si>
  <si>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</si>
  <si>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</si>
  <si>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</si>
  <si>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</si>
  <si>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</si>
  <si>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</si>
  <si>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</si>
  <si>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</si>
  <si>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</si>
  <si>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</si>
  <si>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</si>
  <si>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</si>
  <si>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</si>
  <si>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</si>
  <si>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</si>
  <si>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</si>
  <si>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</si>
  <si>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</si>
  <si>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</si>
  <si>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</si>
  <si>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</si>
  <si>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</si>
  <si>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</si>
  <si>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</si>
  <si>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</si>
  <si>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</si>
  <si>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</si>
  <si>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</si>
  <si>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</si>
  <si>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</si>
  <si>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</si>
  <si>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</si>
  <si>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</si>
  <si>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</si>
  <si>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</si>
  <si>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</si>
  <si>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</si>
  <si>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</si>
  <si>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</si>
  <si>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</si>
  <si>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</si>
  <si>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</si>
  <si>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</si>
  <si>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</si>
  <si>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</si>
  <si>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</si>
  <si>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</si>
  <si>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</si>
  <si>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</si>
  <si>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</si>
  <si>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</si>
  <si>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</si>
  <si>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</si>
  <si>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</si>
  <si>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</si>
  <si>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</si>
  <si>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</si>
  <si>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</si>
  <si>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</si>
  <si>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</si>
  <si>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</si>
  <si>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</si>
  <si>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</si>
  <si>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</si>
  <si>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</si>
  <si>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</si>
  <si>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</si>
  <si>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</si>
  <si>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</si>
  <si>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</si>
  <si>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</si>
  <si>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</si>
  <si>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</si>
  <si>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</si>
  <si>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</si>
  <si>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</si>
  <si>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</si>
  <si>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</si>
  <si>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</si>
  <si>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</si>
  <si>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</si>
  <si>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</si>
  <si>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</si>
  <si>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</si>
  <si>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</si>
  <si>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</si>
  <si>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</si>
  <si>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</si>
  <si>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</si>
  <si>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</si>
  <si>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</si>
  <si>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</si>
  <si>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</si>
  <si>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</si>
  <si>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</si>
  <si>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</si>
  <si>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</si>
  <si>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</si>
  <si>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</si>
  <si>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</si>
  <si>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</si>
  <si>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</si>
  <si>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</si>
  <si>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</si>
  <si>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</si>
  <si>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</si>
  <si>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</si>
  <si>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</si>
  <si>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</si>
  <si>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</si>
  <si>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</si>
  <si>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</si>
  <si>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</si>
  <si>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</si>
  <si>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</si>
  <si>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</si>
  <si>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</si>
  <si>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</si>
  <si>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</si>
  <si>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</si>
  <si>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</si>
  <si>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</si>
  <si>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</si>
  <si>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</si>
  <si>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</si>
  <si>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</si>
  <si>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</si>
  <si>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</si>
  <si>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</si>
  <si>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</si>
  <si>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</si>
  <si>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</si>
  <si>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</si>
  <si>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</si>
  <si>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</si>
  <si>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</si>
  <si>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</si>
  <si>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</si>
  <si>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</si>
  <si>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</si>
  <si>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</si>
  <si>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</si>
  <si>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</si>
  <si>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</si>
  <si>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</si>
  <si>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</si>
  <si>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</si>
  <si>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</si>
  <si>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</si>
  <si>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</si>
  <si>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</si>
  <si>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</si>
  <si>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</si>
  <si>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</si>
  <si>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</si>
  <si>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</si>
  <si>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</si>
  <si>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</si>
  <si>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</si>
  <si>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</si>
  <si>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</si>
  <si>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</si>
  <si>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</si>
  <si>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</si>
  <si>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</si>
  <si>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</si>
  <si>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</si>
  <si>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</si>
  <si>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</si>
  <si>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</si>
  <si>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</si>
  <si>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</si>
  <si>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</si>
  <si>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</si>
  <si>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</si>
  <si>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</si>
  <si>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</si>
  <si>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</si>
  <si>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</si>
  <si>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</si>
  <si>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</si>
  <si>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</si>
  <si>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</si>
  <si>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</si>
  <si>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</si>
  <si>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</si>
  <si>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</si>
  <si>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</si>
  <si>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</si>
  <si>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</si>
  <si>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</si>
  <si>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</si>
  <si>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</si>
  <si>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</si>
  <si>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</si>
  <si>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</si>
  <si>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</si>
  <si>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</si>
  <si>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</si>
  <si>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</si>
  <si>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</si>
  <si>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</si>
  <si>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</si>
  <si>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</si>
  <si>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</si>
  <si>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</si>
  <si>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</si>
  <si>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</si>
  <si>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</si>
  <si>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</si>
  <si>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</si>
  <si>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</si>
  <si>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</si>
  <si>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</si>
  <si>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</si>
  <si>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</si>
  <si>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</si>
  <si>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</si>
  <si>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</si>
  <si>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</si>
  <si>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</si>
  <si>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</si>
  <si>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</si>
  <si>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</si>
  <si>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</si>
  <si>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</si>
  <si>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</si>
  <si>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</si>
  <si>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</si>
  <si>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</si>
  <si>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</si>
  <si>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</si>
  <si>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</si>
  <si>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</si>
  <si>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</si>
  <si>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</si>
  <si>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</si>
  <si>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</si>
  <si>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</si>
  <si>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</si>
  <si>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</si>
  <si>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</si>
  <si>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</si>
  <si>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</si>
  <si>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</si>
  <si>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</si>
  <si>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</si>
  <si>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</si>
  <si>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</si>
  <si>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</si>
  <si>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</si>
  <si>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</si>
  <si>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</si>
  <si>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</si>
  <si>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</si>
  <si>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</si>
  <si>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</si>
  <si>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</si>
  <si>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</si>
  <si>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</si>
  <si>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</si>
  <si>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</si>
  <si>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</si>
  <si>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</si>
  <si>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</si>
  <si>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</si>
  <si>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</si>
  <si>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</si>
  <si>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</si>
  <si>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</si>
  <si>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</si>
  <si>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</si>
  <si>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</si>
  <si>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</si>
  <si>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</si>
  <si>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</si>
  <si>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</si>
  <si>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</si>
  <si>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</si>
  <si>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</si>
  <si>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</si>
  <si>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</si>
  <si>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</si>
  <si>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</si>
  <si>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</si>
  <si>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</si>
  <si>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</si>
  <si>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</si>
  <si>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</si>
  <si>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</si>
  <si>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</si>
  <si>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</si>
  <si>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</si>
  <si>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</si>
  <si>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</si>
  <si>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</si>
  <si>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</si>
  <si>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</si>
  <si>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</si>
  <si>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</si>
  <si>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</si>
  <si>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</si>
  <si>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</si>
  <si>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</si>
  <si>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</si>
  <si>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</si>
  <si>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</si>
  <si>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</si>
  <si>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</si>
  <si>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</si>
  <si>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</si>
  <si>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</si>
  <si>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</si>
  <si>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</si>
  <si>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</si>
  <si>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</si>
  <si>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</si>
  <si>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</si>
  <si>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</si>
  <si>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</si>
  <si>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</si>
  <si>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</si>
  <si>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</si>
  <si>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</si>
  <si>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</si>
  <si>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</si>
  <si>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</si>
  <si>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</si>
  <si>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</si>
  <si>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</si>
  <si>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</si>
  <si>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</si>
  <si>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</si>
  <si>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</si>
  <si>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</si>
  <si>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</si>
  <si>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</si>
  <si>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</si>
  <si>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</si>
  <si>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</si>
  <si>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</si>
  <si>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</si>
  <si>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</si>
  <si>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</si>
  <si>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</si>
  <si>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</si>
  <si>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</si>
  <si>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</si>
  <si>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</si>
  <si>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</si>
  <si>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</si>
  <si>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</si>
  <si>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</si>
  <si>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</si>
  <si>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</si>
  <si>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</si>
  <si>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</si>
  <si>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</si>
  <si>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</si>
  <si>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</si>
  <si>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</si>
  <si>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</si>
  <si>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</si>
  <si>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</si>
  <si>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</si>
  <si>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</si>
  <si>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</si>
  <si>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</si>
  <si>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</si>
  <si>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</si>
  <si>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</si>
  <si>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</si>
  <si>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</si>
  <si>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</si>
  <si>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</si>
  <si>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</si>
  <si>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</si>
  <si>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</si>
  <si>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</si>
  <si>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</si>
  <si>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</si>
  <si>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</si>
  <si>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</si>
  <si>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金鹿角</t>
  </si>
  <si>
    <t>迴避威脅</t>
  </si>
  <si>
    <t>恩賜</t>
  </si>
  <si>
    <t>本場戰鬥先攻值提升</t>
  </si>
  <si>
    <t>造成對手恐懼</t>
  </si>
  <si>
    <t>擊退目標</t>
  </si>
  <si>
    <t>當生命規0時, 生命回復20%並進入狂暴狀態</t>
  </si>
  <si>
    <t>本場戰鬥力量提升</t>
  </si>
  <si>
    <t>本場戰鬥獲得額外體力恢復</t>
  </si>
  <si>
    <t>隨著時間流逝累積財富</t>
  </si>
  <si>
    <t>賦予自身恐懼效果</t>
  </si>
  <si>
    <t>Block</t>
  </si>
  <si>
    <t>Block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</si>
  <si>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</si>
  <si>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</si>
  <si>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</si>
  <si>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</si>
  <si>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</si>
  <si>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</si>
  <si>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</si>
  <si>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</si>
  <si>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</si>
  <si>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</si>
  <si>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</si>
  <si>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</si>
  <si>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</si>
  <si>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</si>
  <si>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</si>
  <si>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</si>
  <si>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</si>
  <si>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</si>
  <si>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</si>
  <si>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</si>
  <si>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</si>
  <si>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</si>
  <si>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</si>
  <si>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</si>
  <si>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</si>
  <si>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</si>
  <si>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</si>
  <si>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</si>
  <si>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</si>
  <si>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</si>
  <si>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</si>
  <si>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</si>
  <si>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</si>
  <si>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</si>
  <si>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</si>
  <si>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</si>
  <si>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</si>
  <si>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</si>
  <si>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</si>
  <si>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</si>
  <si>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</si>
  <si>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</si>
  <si>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</si>
  <si>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</si>
  <si>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</si>
  <si>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</si>
  <si>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</si>
  <si>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</si>
  <si>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</si>
  <si>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</si>
  <si>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</si>
  <si>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</si>
  <si>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</si>
  <si>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ComboAttack</t>
    <phoneticPr fontId="1" type="noConversion"/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</si>
  <si>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</si>
  <si>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</si>
  <si>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</si>
  <si>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</si>
  <si>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</si>
  <si>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</si>
  <si>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</si>
  <si>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</si>
  <si>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</si>
  <si>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</si>
  <si>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</si>
  <si>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</si>
  <si>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</si>
  <si>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</si>
  <si>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</si>
  <si>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</si>
  <si>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迴避對手的遠程攻擊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</si>
  <si>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</si>
  <si>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</si>
  <si>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</si>
  <si>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</si>
  <si>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</si>
  <si>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</si>
  <si>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</si>
  <si>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</si>
  <si>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</si>
  <si>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</si>
  <si>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</si>
  <si>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</si>
  <si>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</si>
  <si>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</si>
  <si>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</si>
  <si>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</si>
  <si>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</si>
  <si>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</si>
  <si>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</si>
  <si>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</si>
  <si>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</si>
  <si>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</si>
  <si>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</si>
  <si>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</si>
  <si>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</si>
  <si>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</si>
  <si>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Fortune</t>
    <phoneticPr fontId="1" type="noConversion"/>
  </si>
  <si>
    <t>財富
獲得遊戲幣, 數值是增加值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</si>
  <si>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</si>
  <si>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</si>
  <si>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</si>
  <si>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</si>
  <si>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PermanentHp</t>
    <phoneticPr fontId="1" type="noConversion"/>
  </si>
  <si>
    <t>永久提升生命
數值填提昇值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</si>
  <si>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</si>
  <si>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</si>
  <si>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</si>
  <si>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</si>
  <si>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</si>
  <si>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</si>
  <si>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</si>
  <si>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</si>
  <si>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</si>
  <si>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</si>
  <si>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</si>
  <si>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</si>
  <si>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</si>
  <si>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</si>
  <si>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</si>
  <si>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</si>
  <si>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</si>
  <si>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</si>
  <si>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</si>
  <si>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</si>
  <si>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</si>
  <si>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</si>
  <si>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</si>
  <si>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</si>
  <si>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</si>
  <si>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</si>
  <si>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</si>
  <si>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</si>
  <si>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</si>
  <si>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</si>
  <si>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</si>
  <si>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</si>
  <si>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</si>
  <si>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</si>
  <si>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</si>
  <si>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</si>
  <si>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</si>
  <si>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</si>
  <si>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</si>
  <si>
    <t>[Buffer]不屈
免疫行動控制類的負面效果, 層數是持續時間</t>
    <phoneticPr fontId="1" type="noConversion"/>
  </si>
  <si>
    <t>每秒回復體力持續一段時間</t>
    <phoneticPr fontId="1" type="noConversion"/>
  </si>
  <si>
    <t>祈禱</t>
  </si>
  <si>
    <t>祈禱</t>
    <phoneticPr fontId="1" type="noConversion"/>
  </si>
  <si>
    <t>第六感</t>
  </si>
  <si>
    <t>學習</t>
  </si>
  <si>
    <t>RegenVigor</t>
  </si>
  <si>
    <t>0.5,10</t>
    <phoneticPr fontId="1" type="noConversion"/>
  </si>
  <si>
    <t>催眠耳語</t>
    <phoneticPr fontId="1" type="noConversion"/>
  </si>
  <si>
    <t>使對暈眩身持續一段時間</t>
    <phoneticPr fontId="1" type="noConversion"/>
  </si>
  <si>
    <t>自身暈眩, 時間內恢復生命</t>
    <phoneticPr fontId="1" type="noConversion"/>
  </si>
  <si>
    <t>使對手暈眩持續一段時間</t>
    <phoneticPr fontId="1" type="noConversion"/>
  </si>
  <si>
    <t>隨機一個技能本場戰鬥技能消耗體力-1</t>
    <phoneticPr fontId="1" type="noConversion"/>
  </si>
  <si>
    <t>[Buffer]技能耗體增加
隨機一個技能本場戰鬥技能消耗體力增加, 填2,-1代表隨機2個技能體力需求-1</t>
    <phoneticPr fontId="1" type="noConversion"/>
  </si>
  <si>
    <t>[Buffer]迴避對手遠程攻擊, 層數是次數</t>
    <phoneticPr fontId="1" type="noConversion"/>
  </si>
  <si>
    <t>TriggerEffect_BeAttack_StrUp</t>
  </si>
  <si>
    <t>TriggerEffect_BeAttack_StrUp</t>
    <phoneticPr fontId="1" type="noConversion"/>
  </si>
  <si>
    <t>TriggerEffect_Time_Fortune</t>
  </si>
  <si>
    <t>TriggerEffect_Time_Fortune</t>
    <phoneticPr fontId="1" type="noConversion"/>
  </si>
  <si>
    <t>[Buffer]觸發效果-每秒, 獲得遊戲幣
數值填獲得量</t>
    <phoneticPr fontId="1" type="noConversion"/>
  </si>
  <si>
    <t>TriggerEffect_WaitTime_RestoreVigor</t>
    <phoneticPr fontId="1" type="noConversion"/>
  </si>
  <si>
    <t>[Buffer]觸發效果-X秒後, 恢復體力
數值填5,10就是5秒後獲得10體力</t>
    <phoneticPr fontId="1" type="noConversion"/>
  </si>
  <si>
    <t>5,10</t>
    <phoneticPr fontId="1" type="noConversion"/>
  </si>
  <si>
    <t>TriggerEffect_BattleResult_PermanentHp</t>
  </si>
  <si>
    <t>TriggerEffect_BattleResult_PermanentHp</t>
    <phoneticPr fontId="1" type="noConversion"/>
  </si>
  <si>
    <t>[Buffer]觸發效果-戰鬥結果觸發, 生命永久上升
數值填0,20代表戰鬥勝利時生命永久上升20
0為勝利
1為平手
2為戰敗</t>
    <phoneticPr fontId="1" type="noConversion"/>
  </si>
  <si>
    <t>0,20</t>
    <phoneticPr fontId="1" type="noConversion"/>
  </si>
  <si>
    <t>3,2</t>
    <phoneticPr fontId="1" type="noConversion"/>
  </si>
  <si>
    <t>下一個X耗以下攻擊技能額外發動兩次</t>
    <phoneticPr fontId="1" type="noConversion"/>
  </si>
  <si>
    <t>下一次肉搏若比對手先攻, 迴避對手的技能</t>
  </si>
  <si>
    <t>下一次肉搏若比對手先攻, 迴避對手的技能</t>
    <phoneticPr fontId="1" type="noConversion"/>
  </si>
  <si>
    <t>TriggerEffect_SkillVigorBelow_ComboAttack</t>
  </si>
  <si>
    <t>TriggerEffect_SkillVigorBelow_ComboAttack</t>
    <phoneticPr fontId="1" type="noConversion"/>
  </si>
  <si>
    <t>TriggerEffect_FirstAttack_Dodge</t>
  </si>
  <si>
    <t>TriggerEffect_FirstAttack_Dodge</t>
    <phoneticPr fontId="1" type="noConversion"/>
  </si>
  <si>
    <t>[Buffer]力量爆發
填3就是下次的攻擊技能力量提升額外3倍</t>
    <phoneticPr fontId="1" type="noConversion"/>
  </si>
  <si>
    <t>StrBurst</t>
  </si>
  <si>
    <t>StrBurst</t>
    <phoneticPr fontId="1" type="noConversion"/>
  </si>
  <si>
    <t>下一次發動的技能力量提升額外2倍</t>
    <phoneticPr fontId="1" type="noConversion"/>
  </si>
  <si>
    <t>[Buffer]直覺
顯示對手手牌技能</t>
    <phoneticPr fontId="1" type="noConversion"/>
  </si>
  <si>
    <t>下一個3耗以下攻擊技能額外發動兩次</t>
    <phoneticPr fontId="1" type="noConversion"/>
  </si>
  <si>
    <t>[Buffer]著火
每數秒受到層數傷害直到層數歸0, 每次受到傷害後層數減半(賦予時會立即觸發1次)</t>
    <phoneticPr fontId="1" type="noConversion"/>
  </si>
  <si>
    <t>[Buffer]觸發條件-下一技能耗體在X以下(包含X)觸發, 獲得ComboAttack數, 移除此Buffer
數值填3,2代表技能消耗在3以下獲得2層ComboAttack</t>
    <phoneticPr fontId="1" type="noConversion"/>
  </si>
  <si>
    <t>[Buffer]觸發條件-比對手先攻, 迴避對手攻擊, 移除此Buffer</t>
    <phoneticPr fontId="1" type="noConversion"/>
  </si>
  <si>
    <t>[Buffer]觸發效果-受到攻擊時, 力量上升
數值填力量上升值</t>
    <phoneticPr fontId="1" type="noConversion"/>
  </si>
  <si>
    <t>[Buffer]肉搏傷害反射
受到肉搏攻擊會反彈受到的百分比傷害給攻擊者, 數值填0.5,3就是反彈50%傷害持續3秒</t>
    <phoneticPr fontId="1" type="noConversion"/>
  </si>
  <si>
    <t>[Buffer]格檔
格檔對手的攻擊，數值填3就是格檔3次</t>
    <phoneticPr fontId="1" type="noConversion"/>
  </si>
  <si>
    <t>1002_1</t>
    <phoneticPr fontId="1" type="noConversion"/>
  </si>
  <si>
    <t>20</t>
    <phoneticPr fontId="1" type="noConversion"/>
  </si>
  <si>
    <t>35</t>
    <phoneticPr fontId="1" type="noConversion"/>
  </si>
  <si>
    <t>劇毒飛刀</t>
    <phoneticPr fontId="1" type="noConversion"/>
  </si>
  <si>
    <t>造成(Damage)傷害, 並賦予(Poison)層中毒</t>
    <phoneticPr fontId="1" type="noConversion"/>
  </si>
  <si>
    <t>TrueDmg</t>
  </si>
  <si>
    <t>TrueDmg</t>
    <phoneticPr fontId="1" type="noConversion"/>
  </si>
  <si>
    <t>真實傷害(不受任何增/減傷影響的直接傷害), 數值是傷害值</t>
    <phoneticPr fontId="1" type="noConversion"/>
  </si>
  <si>
    <t>Talent</t>
  </si>
  <si>
    <t>Talent</t>
    <phoneticPr fontId="1" type="noConversion"/>
  </si>
  <si>
    <t>天賦技能</t>
    <phoneticPr fontId="1" type="noConversion"/>
  </si>
  <si>
    <t>Go</t>
    <phoneticPr fontId="1" type="noConversion"/>
  </si>
  <si>
    <t>C#</t>
    <phoneticPr fontId="1" type="noConversion"/>
  </si>
  <si>
    <t>Effect_Self</t>
    <phoneticPr fontId="1" type="noConversion"/>
  </si>
  <si>
    <t>自身特效</t>
    <phoneticPr fontId="1" type="noConversion"/>
  </si>
  <si>
    <t>Effect_Target</t>
    <phoneticPr fontId="1" type="noConversion"/>
  </si>
  <si>
    <t>目標特效</t>
    <phoneticPr fontId="1" type="noConversion"/>
  </si>
  <si>
    <t>飛射物特效</t>
    <phoneticPr fontId="1" type="noConversion"/>
  </si>
  <si>
    <t>Effect_Shot</t>
    <phoneticPr fontId="1" type="noConversion"/>
  </si>
  <si>
    <t>參考</t>
    <phoneticPr fontId="1" type="noConversion"/>
  </si>
  <si>
    <t>模型中心</t>
    <phoneticPr fontId="1" type="noConversion"/>
  </si>
  <si>
    <t>World,Center,Fireball_Projector&amp;World,Center,Fireball_Hit</t>
    <phoneticPr fontId="1" type="noConversion"/>
  </si>
  <si>
    <t>World,Bot,FirePunch_Hit</t>
    <phoneticPr fontId="1" type="noConversion"/>
  </si>
  <si>
    <t>World,Center,FirePunch_Shot</t>
  </si>
  <si>
    <t>圖像尺寸</t>
  </si>
  <si>
    <t>ModelCenter(d)</t>
  </si>
  <si>
    <t>ImgScale(d)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</si>
</sst>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\(0.00\)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6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4" borderId="0" xfId="0" applyNumberFormat="1" applyFill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P1048576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P14" sqref="P14"/>
    </sheetView>
  </sheetViews>
  <sheetFormatPr defaultColWidth="10.42578125" defaultRowHeight="15.75"/>
  <cols>
    <col min="1" max="1" width="9.140625" style="6" customWidth="1"/>
    <col min="2" max="2" width="15.7109375" style="6" customWidth="1"/>
    <col min="4" max="4" width="11" customWidth="1"/>
    <col min="8" max="8" width="10.42578125" style="16"/>
    <col min="9" max="9" width="14.28515625" style="16" customWidth="1"/>
    <col min="10" max="10" width="14.85546875" customWidth="1"/>
    <col min="11" max="14" width="13.7109375" customWidth="1"/>
    <col min="15" max="15" width="13.140625" customWidth="1"/>
    <col min="16" max="16" width="13.7109375" customWidth="1"/>
  </cols>
  <sheetData>
    <row r="1" spans="1:16" s="7" customFormat="1">
      <c r="A1" s="7" t="s">
        <v>549</v>
      </c>
      <c r="B1" s="7" t="s">
        <v>84</v>
      </c>
      <c r="C1" s="7" t="s">
        <v>535</v>
      </c>
      <c r="D1" s="7" t="s">
        <v>554</v>
      </c>
      <c r="E1" s="7" t="s">
        <v>555</v>
      </c>
      <c r="F1" s="7" t="s">
        <v>560</v>
      </c>
      <c r="G1" s="7" t="s">
        <v>556</v>
      </c>
      <c r="H1" s="14" t="s">
        <v>557</v>
      </c>
      <c r="I1" s="14" t="s">
        <v>558</v>
      </c>
      <c r="J1" s="7" t="s">
        <v>559</v>
      </c>
      <c r="K1" s="7" t="s">
        <v>562</v>
      </c>
      <c r="L1" s="7" t="s">
        <v>563</v>
      </c>
      <c r="M1" s="7" t="s">
        <v>550</v>
      </c>
      <c r="N1" s="7" t="s">
        <v>551</v>
      </c>
      <c r="O1" s="7" t="s">
        <v>636</v>
      </c>
      <c r="P1" s="7" t="s">
        <v>637</v>
      </c>
    </row>
    <row r="2" spans="1:16" s="7" customFormat="1">
      <c r="A2" s="7" t="s">
        <v>79</v>
      </c>
      <c r="B2" s="7" t="s">
        <v>85</v>
      </c>
      <c r="C2" s="7" t="s">
        <v>630</v>
      </c>
      <c r="D2" s="7" t="s">
        <v>37</v>
      </c>
      <c r="E2" s="7" t="s">
        <v>87</v>
      </c>
      <c r="F2" s="7" t="s">
        <v>3</v>
      </c>
      <c r="G2" s="7" t="s">
        <v>4</v>
      </c>
      <c r="H2" s="14" t="s">
        <v>89</v>
      </c>
      <c r="I2" s="14" t="s">
        <v>546</v>
      </c>
      <c r="J2" s="7" t="s">
        <v>90</v>
      </c>
      <c r="K2" s="7" t="s">
        <v>88</v>
      </c>
      <c r="L2" s="7" t="s">
        <v>200</v>
      </c>
      <c r="M2" s="7" t="s">
        <v>552</v>
      </c>
      <c r="N2" s="7" t="s">
        <v>553</v>
      </c>
      <c r="O2" s="7" t="s">
        <v>631</v>
      </c>
      <c r="P2" s="7" t="s">
        <v>635</v>
      </c>
    </row>
    <row r="3" spans="1:16" s="6" customFormat="1">
      <c r="B3" s="12" t="s">
        <v>86</v>
      </c>
      <c r="C3" s="6">
        <v>1</v>
      </c>
      <c r="D3" s="6">
        <v>300</v>
      </c>
      <c r="E3" s="6">
        <v>20</v>
      </c>
      <c r="F3" s="6">
        <v>5</v>
      </c>
      <c r="G3" s="6">
        <v>5</v>
      </c>
      <c r="H3" s="15">
        <v>0.05</v>
      </c>
      <c r="I3" s="15">
        <v>1.5</v>
      </c>
      <c r="J3" s="6">
        <v>1</v>
      </c>
      <c r="K3" s="6">
        <v>10</v>
      </c>
      <c r="L3" s="6">
        <v>0</v>
      </c>
      <c r="M3" s="6">
        <v>6</v>
      </c>
      <c r="N3" s="6">
        <v>4</v>
      </c>
      <c r="O3" s="6">
        <v>3</v>
      </c>
      <c r="P3" s="6">
        <v>0.8</v>
      </c>
    </row>
    <row r="4" spans="1:16">
      <c r="B4" s="12" t="s">
        <v>91</v>
      </c>
      <c r="C4" s="6">
        <v>2</v>
      </c>
      <c r="D4" s="6">
        <v>300</v>
      </c>
      <c r="E4" s="6">
        <v>20</v>
      </c>
      <c r="F4" s="6">
        <v>5</v>
      </c>
      <c r="G4" s="6">
        <v>5</v>
      </c>
      <c r="H4" s="15">
        <v>0.05</v>
      </c>
      <c r="I4" s="15">
        <v>1.5</v>
      </c>
      <c r="J4" s="6">
        <v>1</v>
      </c>
      <c r="K4" s="6">
        <v>10</v>
      </c>
      <c r="L4" s="6">
        <v>0</v>
      </c>
      <c r="M4" s="6">
        <v>6</v>
      </c>
      <c r="N4" s="6">
        <v>4</v>
      </c>
      <c r="O4" s="6">
        <v>3</v>
      </c>
      <c r="P4" s="6">
        <v>0.9</v>
      </c>
    </row>
    <row r="5" spans="1:16">
      <c r="B5" s="12" t="s">
        <v>92</v>
      </c>
      <c r="C5" s="6">
        <v>3</v>
      </c>
      <c r="D5" s="6">
        <v>300</v>
      </c>
      <c r="E5" s="6">
        <v>20</v>
      </c>
      <c r="F5" s="6">
        <v>5</v>
      </c>
      <c r="G5" s="6">
        <v>5</v>
      </c>
      <c r="H5" s="15">
        <v>0.05</v>
      </c>
      <c r="I5" s="15">
        <v>1.5</v>
      </c>
      <c r="J5" s="6">
        <v>1</v>
      </c>
      <c r="K5" s="6">
        <v>10</v>
      </c>
      <c r="L5" s="6">
        <v>0</v>
      </c>
      <c r="M5" s="6">
        <v>6</v>
      </c>
      <c r="N5" s="6">
        <v>4</v>
      </c>
      <c r="O5" s="6">
        <v>4</v>
      </c>
      <c r="P5" s="6">
        <v>0.8</v>
      </c>
    </row>
    <row r="6" spans="1:16">
      <c r="B6" s="12" t="s">
        <v>99</v>
      </c>
      <c r="C6" s="6">
        <v>4</v>
      </c>
      <c r="D6" s="6">
        <v>300</v>
      </c>
      <c r="E6" s="6">
        <v>20</v>
      </c>
      <c r="F6" s="6">
        <v>5</v>
      </c>
      <c r="G6" s="6">
        <v>5</v>
      </c>
      <c r="H6" s="15">
        <v>0.05</v>
      </c>
      <c r="I6" s="15">
        <v>1.5</v>
      </c>
      <c r="J6" s="6">
        <v>1</v>
      </c>
      <c r="K6" s="6">
        <v>10</v>
      </c>
      <c r="L6" s="6">
        <v>0</v>
      </c>
      <c r="M6" s="6">
        <v>6</v>
      </c>
      <c r="N6" s="6">
        <v>4</v>
      </c>
      <c r="O6" s="6">
        <v>3</v>
      </c>
      <c r="P6" s="6">
        <v>1</v>
      </c>
    </row>
    <row r="7" spans="1:16">
      <c r="B7" s="12" t="s">
        <v>93</v>
      </c>
      <c r="C7" s="6">
        <v>5</v>
      </c>
      <c r="D7" s="6">
        <v>300</v>
      </c>
      <c r="E7" s="6">
        <v>20</v>
      </c>
      <c r="F7" s="6">
        <v>5</v>
      </c>
      <c r="G7" s="6">
        <v>5</v>
      </c>
      <c r="H7" s="15">
        <v>0.05</v>
      </c>
      <c r="I7" s="15">
        <v>1.5</v>
      </c>
      <c r="J7" s="6">
        <v>1</v>
      </c>
      <c r="K7" s="6">
        <v>10</v>
      </c>
      <c r="L7" s="6">
        <v>0</v>
      </c>
      <c r="M7" s="6">
        <v>6</v>
      </c>
      <c r="N7" s="6">
        <v>4</v>
      </c>
      <c r="O7" s="6">
        <v>3</v>
      </c>
      <c r="P7" s="6">
        <v>0.85</v>
      </c>
    </row>
    <row r="8" spans="1:16">
      <c r="A8" s="6">
        <v>6</v>
      </c>
      <c r="B8" s="12" t="s">
        <v>94</v>
      </c>
      <c r="C8" s="6">
        <v>6</v>
      </c>
      <c r="D8" s="6">
        <v>300</v>
      </c>
      <c r="E8" s="6">
        <v>20</v>
      </c>
      <c r="F8" s="6">
        <v>5</v>
      </c>
      <c r="G8" s="6">
        <v>5</v>
      </c>
      <c r="H8" s="15">
        <v>0.05</v>
      </c>
      <c r="I8" s="15">
        <v>1.5</v>
      </c>
      <c r="J8" s="6">
        <v>1</v>
      </c>
      <c r="K8" s="6">
        <v>10</v>
      </c>
      <c r="L8" s="6">
        <v>0</v>
      </c>
      <c r="M8" s="6">
        <v>6</v>
      </c>
      <c r="N8" s="6">
        <v>4</v>
      </c>
      <c r="O8" s="6">
        <v>3.38</v>
      </c>
      <c r="P8" s="6">
        <v>0.9</v>
      </c>
    </row>
    <row r="9" spans="1:16">
      <c r="A9" s="6">
        <v>7</v>
      </c>
      <c r="B9" s="12" t="s">
        <v>95</v>
      </c>
      <c r="C9" s="6">
        <v>7</v>
      </c>
      <c r="D9" s="6">
        <v>300</v>
      </c>
      <c r="E9" s="6">
        <v>20</v>
      </c>
      <c r="F9" s="6">
        <v>5</v>
      </c>
      <c r="G9" s="6">
        <v>5</v>
      </c>
      <c r="H9" s="15">
        <v>0.05</v>
      </c>
      <c r="I9" s="15">
        <v>1.5</v>
      </c>
      <c r="J9" s="6">
        <v>1</v>
      </c>
      <c r="K9" s="6">
        <v>10</v>
      </c>
      <c r="L9" s="6">
        <v>0</v>
      </c>
      <c r="M9" s="6">
        <v>6</v>
      </c>
      <c r="N9" s="6">
        <v>4</v>
      </c>
      <c r="O9" s="6">
        <v>4.08</v>
      </c>
      <c r="P9" s="6">
        <v>0.6</v>
      </c>
    </row>
    <row r="10" spans="1:16">
      <c r="B10" s="12" t="s">
        <v>96</v>
      </c>
      <c r="C10" s="6">
        <v>8</v>
      </c>
      <c r="D10" s="6">
        <v>300</v>
      </c>
      <c r="E10" s="6">
        <v>20</v>
      </c>
      <c r="F10" s="6">
        <v>5</v>
      </c>
      <c r="G10" s="6">
        <v>5</v>
      </c>
      <c r="H10" s="15">
        <v>0.05</v>
      </c>
      <c r="I10" s="15">
        <v>1.5</v>
      </c>
      <c r="J10" s="6">
        <v>1</v>
      </c>
      <c r="K10" s="6">
        <v>10</v>
      </c>
      <c r="L10" s="6">
        <v>0</v>
      </c>
      <c r="M10" s="6">
        <v>6</v>
      </c>
      <c r="N10" s="6">
        <v>4</v>
      </c>
      <c r="O10" s="6">
        <v>3</v>
      </c>
      <c r="P10" s="6">
        <v>1</v>
      </c>
    </row>
    <row r="11" spans="1:16">
      <c r="A11" s="6">
        <v>9</v>
      </c>
      <c r="B11" s="12" t="s">
        <v>97</v>
      </c>
      <c r="C11" s="6">
        <v>9</v>
      </c>
      <c r="D11" s="6">
        <v>300</v>
      </c>
      <c r="E11" s="6">
        <v>20</v>
      </c>
      <c r="F11" s="6">
        <v>5</v>
      </c>
      <c r="G11" s="6">
        <v>5</v>
      </c>
      <c r="H11" s="15">
        <v>0.05</v>
      </c>
      <c r="I11" s="15">
        <v>1.5</v>
      </c>
      <c r="J11" s="6">
        <v>1</v>
      </c>
      <c r="K11" s="6">
        <v>10</v>
      </c>
      <c r="L11" s="6">
        <v>0</v>
      </c>
      <c r="M11" s="6">
        <v>6</v>
      </c>
      <c r="N11" s="6">
        <v>4</v>
      </c>
      <c r="O11" s="6">
        <v>4</v>
      </c>
      <c r="P11" s="6">
        <v>0.75</v>
      </c>
    </row>
    <row r="12" spans="1:16">
      <c r="A12" s="6">
        <v>10</v>
      </c>
      <c r="B12" s="12" t="s">
        <v>98</v>
      </c>
      <c r="C12" s="6">
        <v>10</v>
      </c>
      <c r="D12" s="6">
        <v>300</v>
      </c>
      <c r="E12" s="6">
        <v>20</v>
      </c>
      <c r="F12" s="6">
        <v>5</v>
      </c>
      <c r="G12" s="6">
        <v>5</v>
      </c>
      <c r="H12" s="15">
        <v>0.05</v>
      </c>
      <c r="I12" s="15">
        <v>1.5</v>
      </c>
      <c r="J12" s="6">
        <v>1</v>
      </c>
      <c r="K12" s="6">
        <v>10</v>
      </c>
      <c r="L12" s="6">
        <v>0</v>
      </c>
      <c r="M12" s="6">
        <v>6</v>
      </c>
      <c r="N12" s="6">
        <v>4</v>
      </c>
      <c r="O12" s="6">
        <v>3.55</v>
      </c>
      <c r="P12" s="6">
        <v>0.65</v>
      </c>
    </row>
    <row r="14" spans="1:16">
      <c r="A14" s="11" t="s">
        <v>82</v>
      </c>
    </row>
    <row r="1048576" spans="5:5">
      <c r="E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R87"/>
  <sheetViews>
    <sheetView showFormulas="1" tabSelected="1" zoomScaleNormal="100" workbookViewId="0">
      <pane xSplit="2" ySplit="2" topLeftCell="C15" activePane="bottomRight" state="frozen"/>
      <selection pane="topRight" activeCell="C1" sqref="C1"/>
      <selection pane="bottomLeft" activeCell="A3" sqref="A3"/>
      <selection pane="bottomRight" activeCell="E25" sqref="E25"/>
    </sheetView>
  </sheetViews>
  <sheetFormatPr defaultColWidth="10.42578125" defaultRowHeight="15.75"/>
  <cols>
    <col min="1" max="1" width="8" style="6" customWidth="1"/>
    <col min="2" max="2" width="15.7109375" style="23" customWidth="1"/>
    <col min="3" max="3" width="6.28515625" style="30" customWidth="1"/>
    <col min="4" max="4" width="8.140625" customWidth="1"/>
    <col min="5" max="5" width="7.7109375" style="6" customWidth="1"/>
    <col min="6" max="6" width="7.7109375" customWidth="1"/>
    <col min="7" max="7" width="6.7109375" style="34" customWidth="1"/>
    <col min="8" max="8" width="7.7109375" style="6" customWidth="1"/>
    <col min="9" max="9" width="7.28515625" customWidth="1"/>
    <col min="10" max="10" width="7.5703125" customWidth="1"/>
    <col min="11" max="11" width="7.7109375" style="19" customWidth="1"/>
    <col min="12" max="12" width="7.5703125" customWidth="1"/>
    <col min="13" max="13" width="8.7109375" customWidth="1"/>
  </cols>
  <sheetData>
    <row r="1" spans="1:14" s="7" customFormat="1">
      <c r="A1" s="7" t="s">
        <v>534</v>
      </c>
      <c r="B1" s="22" t="s">
        <v>84</v>
      </c>
      <c r="C1" s="7" t="s">
        <v>535</v>
      </c>
      <c r="D1" s="7" t="s">
        <v>561</v>
      </c>
      <c r="E1" s="7" t="s">
        <v>539</v>
      </c>
      <c r="F1" s="7" t="s">
        <v>563</v>
      </c>
      <c r="G1" s="33" t="s">
        <v>536</v>
      </c>
      <c r="H1" s="7" t="s">
        <v>562</v>
      </c>
      <c r="I1" s="7" t="s">
        <v>537</v>
      </c>
      <c r="J1" s="7" t="s">
        <v>538</v>
      </c>
      <c r="K1" s="7" t="s">
        <v>624</v>
      </c>
      <c r="L1" s="7" t="s">
        <v>626</v>
      </c>
      <c r="M1" s="7" t="s">
        <v>629</v>
      </c>
    </row>
    <row r="2" spans="1:14" s="7" customFormat="1">
      <c r="A2" s="7" t="s">
        <v>79</v>
      </c>
      <c r="B2" s="22" t="s">
        <v>85</v>
      </c>
      <c r="C2" s="28" t="s">
        <v>533</v>
      </c>
      <c r="D2" s="7" t="s">
        <v>199</v>
      </c>
      <c r="E2" s="7" t="s">
        <v>540</v>
      </c>
      <c r="F2" s="7" t="s">
        <v>200</v>
      </c>
      <c r="G2" s="33" t="s">
        <v>159</v>
      </c>
      <c r="H2" s="7" t="s">
        <v>249</v>
      </c>
      <c r="I2" s="7" t="s">
        <v>370</v>
      </c>
      <c r="J2" s="7" t="s">
        <v>284</v>
      </c>
      <c r="K2" s="7" t="s">
        <v>625</v>
      </c>
      <c r="L2" s="7" t="s">
        <v>627</v>
      </c>
      <c r="M2" s="7" t="s">
        <v>628</v>
      </c>
    </row>
    <row r="4" spans="1:14">
      <c r="B4" s="23" t="s">
        <v>274</v>
      </c>
    </row>
    <row r="5" spans="1:14" s="6" customFormat="1">
      <c r="A5" s="6">
        <v>1</v>
      </c>
      <c r="B5" s="23" t="s">
        <v>104</v>
      </c>
      <c r="C5" s="30">
        <v>1</v>
      </c>
      <c r="D5" s="6" t="s">
        <v>201</v>
      </c>
      <c r="F5" s="6">
        <v>30</v>
      </c>
      <c r="G5" s="34">
        <v>8</v>
      </c>
      <c r="I5" s="6" t="s">
        <v>619</v>
      </c>
      <c r="K5" s="18" t="s">
        <v>634</v>
      </c>
      <c r="L5" s="18" t="s">
        <v>633</v>
      </c>
    </row>
    <row r="6" spans="1:14">
      <c r="A6" s="6">
        <v>2</v>
      </c>
      <c r="B6" s="23" t="s">
        <v>107</v>
      </c>
      <c r="C6" s="30">
        <v>2</v>
      </c>
      <c r="D6" s="6" t="s">
        <v>202</v>
      </c>
      <c r="F6" s="6">
        <v>30</v>
      </c>
      <c r="G6" s="34">
        <v>8</v>
      </c>
      <c r="I6" s="6" t="s">
        <v>619</v>
      </c>
      <c r="J6" s="6"/>
      <c r="K6" s="18"/>
      <c r="L6" s="18"/>
      <c r="M6" s="18" t="s">
        <v>632</v>
      </c>
      <c r="N6" s="18"/>
    </row>
    <row r="7" spans="1:14">
      <c r="A7" s="6">
        <v>3</v>
      </c>
      <c r="B7" s="23" t="s">
        <v>100</v>
      </c>
      <c r="C7" s="30">
        <v>3</v>
      </c>
      <c r="D7" s="6" t="s">
        <v>201</v>
      </c>
      <c r="F7" s="6">
        <v>30</v>
      </c>
      <c r="G7" s="34">
        <v>8</v>
      </c>
      <c r="I7" s="6" t="s">
        <v>619</v>
      </c>
      <c r="J7" s="6"/>
      <c r="K7" s="18" t="s">
        <v>634</v>
      </c>
      <c r="L7" s="18" t="s">
        <v>633</v>
      </c>
      <c r="M7" s="18"/>
    </row>
    <row r="8" spans="1:14">
      <c r="A8" s="6">
        <v>4</v>
      </c>
      <c r="B8" s="23" t="s">
        <v>108</v>
      </c>
      <c r="C8" s="30">
        <v>4</v>
      </c>
      <c r="D8" s="6" t="s">
        <v>202</v>
      </c>
      <c r="F8" s="6">
        <v>30</v>
      </c>
      <c r="G8" s="34">
        <v>8</v>
      </c>
      <c r="I8" s="6" t="s">
        <v>619</v>
      </c>
      <c r="J8" s="6"/>
      <c r="K8" s="18"/>
      <c r="L8" s="18"/>
      <c r="M8" s="18" t="s">
        <v>632</v>
      </c>
    </row>
    <row r="9" spans="1:14">
      <c r="A9" s="6">
        <v>5</v>
      </c>
      <c r="B9" s="23" t="s">
        <v>106</v>
      </c>
      <c r="C9" s="30">
        <v>5</v>
      </c>
      <c r="D9" s="6" t="s">
        <v>202</v>
      </c>
      <c r="F9" s="6">
        <v>30</v>
      </c>
      <c r="G9" s="34">
        <v>8</v>
      </c>
      <c r="I9" s="6" t="s">
        <v>619</v>
      </c>
      <c r="J9" s="6"/>
      <c r="K9" s="18"/>
      <c r="L9" s="18"/>
      <c r="M9" s="18" t="s">
        <v>632</v>
      </c>
    </row>
    <row r="10" spans="1:14">
      <c r="A10" s="6">
        <v>6</v>
      </c>
      <c r="B10" s="23" t="s">
        <v>101</v>
      </c>
      <c r="C10" s="30">
        <v>6</v>
      </c>
      <c r="D10" s="6" t="s">
        <v>201</v>
      </c>
      <c r="F10" s="6">
        <v>30</v>
      </c>
      <c r="G10" s="34">
        <v>8</v>
      </c>
      <c r="I10" s="6" t="s">
        <v>619</v>
      </c>
      <c r="J10" s="6"/>
      <c r="K10" s="18" t="s">
        <v>634</v>
      </c>
      <c r="L10" s="18" t="s">
        <v>633</v>
      </c>
    </row>
    <row r="11" spans="1:14">
      <c r="A11" s="6">
        <v>7</v>
      </c>
      <c r="B11" s="23" t="s">
        <v>109</v>
      </c>
      <c r="C11" s="30">
        <v>7</v>
      </c>
      <c r="D11" s="6" t="s">
        <v>202</v>
      </c>
      <c r="F11" s="6">
        <v>30</v>
      </c>
      <c r="G11" s="34">
        <v>8</v>
      </c>
      <c r="H11" s="6">
        <v>2</v>
      </c>
      <c r="I11" s="6" t="s">
        <v>619</v>
      </c>
      <c r="J11" s="6"/>
      <c r="K11" s="18"/>
      <c r="L11" s="18"/>
      <c r="M11" s="18" t="s">
        <v>632</v>
      </c>
    </row>
    <row r="12" spans="1:14">
      <c r="A12" s="6">
        <v>8</v>
      </c>
      <c r="B12" s="23" t="s">
        <v>102</v>
      </c>
      <c r="C12" s="30">
        <v>8</v>
      </c>
      <c r="D12" s="6" t="s">
        <v>201</v>
      </c>
      <c r="F12" s="6">
        <v>30</v>
      </c>
      <c r="G12" s="34">
        <v>8</v>
      </c>
      <c r="I12" s="6" t="s">
        <v>619</v>
      </c>
      <c r="J12" s="6"/>
      <c r="K12" s="18" t="s">
        <v>634</v>
      </c>
      <c r="L12" s="18" t="s">
        <v>633</v>
      </c>
    </row>
    <row r="13" spans="1:14">
      <c r="A13" s="6">
        <v>9</v>
      </c>
      <c r="B13" s="23" t="s">
        <v>103</v>
      </c>
      <c r="C13" s="30">
        <v>9</v>
      </c>
      <c r="D13" s="6" t="s">
        <v>201</v>
      </c>
      <c r="F13" s="6">
        <v>30</v>
      </c>
      <c r="G13" s="34">
        <v>8</v>
      </c>
      <c r="I13" s="6" t="s">
        <v>619</v>
      </c>
      <c r="J13" s="6"/>
      <c r="K13" s="18" t="s">
        <v>634</v>
      </c>
      <c r="L13" s="18" t="s">
        <v>633</v>
      </c>
    </row>
    <row r="14" spans="1:14">
      <c r="A14" s="6">
        <v>10</v>
      </c>
      <c r="B14" s="23" t="s">
        <v>105</v>
      </c>
      <c r="C14" s="30">
        <v>10</v>
      </c>
      <c r="D14" s="6" t="s">
        <v>202</v>
      </c>
      <c r="F14" s="6">
        <v>30</v>
      </c>
      <c r="G14" s="34">
        <v>8</v>
      </c>
      <c r="I14" s="6" t="s">
        <v>619</v>
      </c>
      <c r="J14" s="6"/>
      <c r="K14" s="18"/>
      <c r="L14" s="18"/>
      <c r="M14" s="18" t="s">
        <v>632</v>
      </c>
    </row>
    <row r="16" spans="1:14" s="6" customFormat="1">
      <c r="B16" s="23" t="s">
        <v>273</v>
      </c>
      <c r="C16" s="30"/>
      <c r="G16" s="34"/>
      <c r="K16" s="18"/>
    </row>
    <row r="17" spans="1:14" s="6" customFormat="1">
      <c r="A17" s="6">
        <v>1001</v>
      </c>
      <c r="B17" s="23" t="s">
        <v>276</v>
      </c>
      <c r="C17" s="30">
        <v>1001</v>
      </c>
      <c r="D17" s="6" t="s">
        <v>201</v>
      </c>
      <c r="F17" s="6">
        <v>30</v>
      </c>
      <c r="G17" s="34">
        <v>3</v>
      </c>
      <c r="I17" s="6" t="s">
        <v>371</v>
      </c>
      <c r="K17" s="18" t="s">
        <v>634</v>
      </c>
      <c r="L17" s="18" t="s">
        <v>633</v>
      </c>
    </row>
    <row r="18" spans="1:14" s="6" customFormat="1">
      <c r="A18" s="6">
        <v>1002</v>
      </c>
      <c r="B18" s="23" t="s">
        <v>250</v>
      </c>
      <c r="C18" s="30">
        <v>1002</v>
      </c>
      <c r="D18" s="6" t="s">
        <v>201</v>
      </c>
      <c r="F18" s="6">
        <v>30</v>
      </c>
      <c r="G18" s="34">
        <v>3</v>
      </c>
      <c r="I18" s="6" t="s">
        <v>371</v>
      </c>
      <c r="K18" s="18" t="s">
        <v>634</v>
      </c>
      <c r="L18" s="18" t="s">
        <v>633</v>
      </c>
    </row>
    <row r="19" spans="1:14" s="6" customFormat="1">
      <c r="A19" s="6">
        <v>1003</v>
      </c>
      <c r="B19" s="23" t="s">
        <v>277</v>
      </c>
      <c r="C19" s="30">
        <v>1003</v>
      </c>
      <c r="D19" s="6" t="s">
        <v>201</v>
      </c>
      <c r="F19" s="6">
        <v>50</v>
      </c>
      <c r="G19" s="34">
        <v>3</v>
      </c>
      <c r="I19" s="6" t="s">
        <v>371</v>
      </c>
      <c r="K19" s="18" t="s">
        <v>634</v>
      </c>
      <c r="L19" s="18" t="s">
        <v>633</v>
      </c>
    </row>
    <row r="20" spans="1:14" s="6" customFormat="1">
      <c r="A20" s="6">
        <v>1004</v>
      </c>
      <c r="B20" s="23" t="s">
        <v>278</v>
      </c>
      <c r="C20" s="30">
        <v>1004</v>
      </c>
      <c r="D20" s="6" t="s">
        <v>202</v>
      </c>
      <c r="F20" s="6">
        <v>25</v>
      </c>
      <c r="G20" s="34">
        <v>3</v>
      </c>
      <c r="H20" s="6">
        <v>2</v>
      </c>
      <c r="I20" s="6" t="s">
        <v>371</v>
      </c>
      <c r="K20" s="18"/>
      <c r="L20" s="18"/>
      <c r="M20" s="18" t="s">
        <v>632</v>
      </c>
    </row>
    <row r="21" spans="1:14" s="6" customFormat="1">
      <c r="A21" s="6">
        <v>1005</v>
      </c>
      <c r="B21" s="23" t="s">
        <v>279</v>
      </c>
      <c r="C21" s="30">
        <v>1005</v>
      </c>
      <c r="D21" s="6" t="s">
        <v>202</v>
      </c>
      <c r="F21" s="6">
        <v>40</v>
      </c>
      <c r="G21" s="34">
        <v>3</v>
      </c>
      <c r="H21" s="6">
        <v>2</v>
      </c>
      <c r="I21" s="6" t="s">
        <v>371</v>
      </c>
      <c r="K21" s="18"/>
      <c r="L21" s="18"/>
      <c r="M21" s="18" t="s">
        <v>632</v>
      </c>
    </row>
    <row r="22" spans="1:14" s="6" customFormat="1">
      <c r="A22" s="6">
        <v>1006</v>
      </c>
      <c r="B22" s="23" t="s">
        <v>614</v>
      </c>
      <c r="C22" s="30">
        <v>1006</v>
      </c>
      <c r="D22" s="6" t="s">
        <v>202</v>
      </c>
      <c r="F22" s="6">
        <v>40</v>
      </c>
      <c r="G22" s="34">
        <v>3</v>
      </c>
      <c r="H22" s="6">
        <v>2</v>
      </c>
      <c r="I22" s="6" t="s">
        <v>371</v>
      </c>
      <c r="K22" s="18"/>
      <c r="L22" s="18"/>
      <c r="M22" s="18" t="s">
        <v>632</v>
      </c>
    </row>
    <row r="23" spans="1:14" s="6" customFormat="1">
      <c r="B23" s="23" t="s">
        <v>280</v>
      </c>
      <c r="C23" s="30">
        <v>1007</v>
      </c>
      <c r="D23" s="6" t="s">
        <v>202</v>
      </c>
      <c r="F23" s="6">
        <v>40</v>
      </c>
      <c r="G23" s="34">
        <v>3</v>
      </c>
      <c r="H23" s="6">
        <v>2</v>
      </c>
      <c r="I23" s="6" t="s">
        <v>371</v>
      </c>
      <c r="K23" s="18"/>
      <c r="L23" s="18"/>
      <c r="M23" s="18" t="s">
        <v>632</v>
      </c>
    </row>
    <row r="24" spans="1:14" s="6" customFormat="1">
      <c r="A24" s="6">
        <v>1008</v>
      </c>
      <c r="B24" s="23" t="s">
        <v>281</v>
      </c>
      <c r="C24" s="30">
        <v>1008</v>
      </c>
      <c r="D24" s="6" t="s">
        <v>202</v>
      </c>
      <c r="F24" s="6">
        <v>25</v>
      </c>
      <c r="G24" s="34">
        <v>3</v>
      </c>
      <c r="H24" s="6">
        <v>2</v>
      </c>
      <c r="I24" s="6" t="s">
        <v>371</v>
      </c>
      <c r="K24" s="18"/>
      <c r="L24" s="18"/>
      <c r="M24" s="18" t="s">
        <v>632</v>
      </c>
    </row>
    <row r="25" spans="1:14" s="6" customFormat="1">
      <c r="B25" s="23" t="s">
        <v>282</v>
      </c>
      <c r="C25" s="30">
        <v>1009</v>
      </c>
      <c r="D25" s="6" t="s">
        <v>202</v>
      </c>
      <c r="F25" s="6">
        <v>40</v>
      </c>
      <c r="G25" s="34">
        <v>3</v>
      </c>
      <c r="H25" s="6">
        <v>2</v>
      </c>
      <c r="I25" s="6" t="s">
        <v>371</v>
      </c>
      <c r="K25" s="18"/>
      <c r="L25" s="18"/>
      <c r="M25" s="18" t="s">
        <v>632</v>
      </c>
    </row>
    <row r="26" spans="1:14" s="6" customFormat="1">
      <c r="A26" s="6">
        <v>1010</v>
      </c>
      <c r="B26" s="23" t="s">
        <v>283</v>
      </c>
      <c r="C26" s="30">
        <v>1010</v>
      </c>
      <c r="D26" s="6" t="s">
        <v>201</v>
      </c>
      <c r="F26" s="6">
        <v>30</v>
      </c>
      <c r="G26" s="34">
        <v>3</v>
      </c>
      <c r="I26" s="6" t="s">
        <v>371</v>
      </c>
      <c r="K26" s="18" t="s">
        <v>634</v>
      </c>
      <c r="L26" s="18" t="s">
        <v>633</v>
      </c>
    </row>
    <row r="27" spans="1:14" s="6" customFormat="1">
      <c r="B27" s="23"/>
      <c r="C27" s="30"/>
      <c r="G27" s="34"/>
      <c r="K27" s="18"/>
    </row>
    <row r="28" spans="1:14" s="6" customFormat="1">
      <c r="B28" s="23" t="s">
        <v>277</v>
      </c>
      <c r="C28" s="30">
        <v>1003</v>
      </c>
      <c r="D28" s="6" t="s">
        <v>202</v>
      </c>
      <c r="F28" s="6">
        <v>30</v>
      </c>
      <c r="G28" s="34">
        <v>2</v>
      </c>
      <c r="I28" s="6" t="s">
        <v>371</v>
      </c>
      <c r="K28" s="18"/>
      <c r="N28" s="6">
        <v>1011</v>
      </c>
    </row>
    <row r="29" spans="1:14" s="6" customFormat="1">
      <c r="B29" s="23" t="s">
        <v>277</v>
      </c>
      <c r="C29" s="30">
        <v>1003</v>
      </c>
      <c r="D29" s="6" t="s">
        <v>202</v>
      </c>
      <c r="F29" s="6">
        <v>30</v>
      </c>
      <c r="G29" s="34">
        <v>2</v>
      </c>
      <c r="I29" s="6" t="s">
        <v>371</v>
      </c>
      <c r="K29" s="18"/>
      <c r="N29" s="6">
        <v>1012</v>
      </c>
    </row>
    <row r="30" spans="1:14" s="6" customFormat="1">
      <c r="B30" s="23" t="s">
        <v>277</v>
      </c>
      <c r="C30" s="30">
        <v>1003</v>
      </c>
      <c r="D30" s="6" t="s">
        <v>202</v>
      </c>
      <c r="F30" s="6">
        <v>30</v>
      </c>
      <c r="G30" s="34">
        <v>2</v>
      </c>
      <c r="I30" s="6" t="s">
        <v>371</v>
      </c>
      <c r="K30" s="18"/>
      <c r="N30" s="6">
        <v>1013</v>
      </c>
    </row>
    <row r="31" spans="1:14" s="6" customFormat="1">
      <c r="B31" s="23" t="s">
        <v>277</v>
      </c>
      <c r="C31" s="30">
        <v>1003</v>
      </c>
      <c r="D31" s="6" t="s">
        <v>202</v>
      </c>
      <c r="F31" s="6">
        <v>30</v>
      </c>
      <c r="G31" s="34">
        <v>2</v>
      </c>
      <c r="I31" s="6" t="s">
        <v>371</v>
      </c>
      <c r="K31" s="18"/>
      <c r="N31" s="6">
        <v>1014</v>
      </c>
    </row>
    <row r="32" spans="1:14" s="6" customFormat="1">
      <c r="B32" s="23" t="s">
        <v>277</v>
      </c>
      <c r="C32" s="30">
        <v>1003</v>
      </c>
      <c r="D32" s="6" t="s">
        <v>202</v>
      </c>
      <c r="F32" s="6">
        <v>30</v>
      </c>
      <c r="G32" s="34">
        <v>2</v>
      </c>
      <c r="I32" s="6" t="s">
        <v>371</v>
      </c>
      <c r="K32" s="18"/>
      <c r="N32" s="6">
        <v>1015</v>
      </c>
    </row>
    <row r="33" spans="1:18" s="6" customFormat="1">
      <c r="B33" s="23" t="s">
        <v>277</v>
      </c>
      <c r="C33" s="30">
        <v>1003</v>
      </c>
      <c r="D33" s="6" t="s">
        <v>202</v>
      </c>
      <c r="F33" s="6">
        <v>30</v>
      </c>
      <c r="G33" s="34">
        <v>2</v>
      </c>
      <c r="I33" s="6" t="s">
        <v>371</v>
      </c>
      <c r="K33" s="18"/>
      <c r="N33" s="6">
        <v>1016</v>
      </c>
    </row>
    <row r="35" spans="1:18" s="6" customFormat="1">
      <c r="B35" s="23" t="s">
        <v>310</v>
      </c>
      <c r="C35" s="30"/>
      <c r="G35" s="34"/>
      <c r="K35" s="18"/>
    </row>
    <row r="36" spans="1:18" s="6" customFormat="1">
      <c r="B36" s="23" t="s">
        <v>349</v>
      </c>
      <c r="C36" s="30"/>
      <c r="G36" s="34"/>
      <c r="K36" s="18"/>
      <c r="P36" s="23"/>
      <c r="Q36" s="23"/>
    </row>
    <row r="37" spans="1:18" s="24" customFormat="1">
      <c r="A37" s="24">
        <v>10001</v>
      </c>
      <c r="B37" s="25" t="s">
        <v>285</v>
      </c>
      <c r="C37" s="31">
        <v>10001</v>
      </c>
      <c r="D37" s="24" t="s">
        <v>201</v>
      </c>
      <c r="E37" s="24">
        <v>10</v>
      </c>
      <c r="G37" s="35">
        <v>1</v>
      </c>
      <c r="I37" s="24" t="s">
        <v>286</v>
      </c>
      <c r="J37" s="24" t="s">
        <v>287</v>
      </c>
      <c r="K37" s="26"/>
      <c r="N37" s="26" t="s">
        <v>316</v>
      </c>
      <c r="O37" s="25"/>
      <c r="P37" s="25"/>
      <c r="Q37" s="26"/>
      <c r="R37" s="26"/>
    </row>
    <row r="38" spans="1:18" s="24" customFormat="1">
      <c r="A38" s="24">
        <v>10002</v>
      </c>
      <c r="B38" s="25" t="s">
        <v>307</v>
      </c>
      <c r="C38" s="31">
        <v>10002</v>
      </c>
      <c r="D38" s="24" t="s">
        <v>202</v>
      </c>
      <c r="E38" s="24">
        <v>10</v>
      </c>
      <c r="G38" s="35"/>
      <c r="I38" s="24" t="s">
        <v>373</v>
      </c>
      <c r="J38" s="24" t="s">
        <v>287</v>
      </c>
      <c r="K38" s="26"/>
      <c r="N38" s="26" t="s">
        <v>298</v>
      </c>
      <c r="O38" s="25"/>
      <c r="P38" s="25"/>
      <c r="Q38" s="26"/>
      <c r="R38" s="26"/>
    </row>
    <row r="39" spans="1:18" s="24" customFormat="1">
      <c r="A39" s="24">
        <v>10003</v>
      </c>
      <c r="B39" s="25" t="s">
        <v>302</v>
      </c>
      <c r="C39" s="31">
        <v>10003</v>
      </c>
      <c r="D39" s="24" t="s">
        <v>202</v>
      </c>
      <c r="E39" s="24">
        <v>10</v>
      </c>
      <c r="G39" s="35"/>
      <c r="I39" s="24" t="s">
        <v>373</v>
      </c>
      <c r="J39" s="24" t="s">
        <v>287</v>
      </c>
      <c r="K39" s="26"/>
      <c r="N39" s="26" t="s">
        <v>574</v>
      </c>
      <c r="O39" s="25"/>
      <c r="P39" s="25"/>
      <c r="Q39" s="26"/>
      <c r="R39" s="26"/>
    </row>
    <row r="40" spans="1:18" s="6" customFormat="1">
      <c r="A40" s="6">
        <v>10004</v>
      </c>
      <c r="B40" s="23" t="s">
        <v>306</v>
      </c>
      <c r="C40" s="30">
        <v>10004</v>
      </c>
      <c r="D40" s="6" t="s">
        <v>295</v>
      </c>
      <c r="E40" s="6">
        <v>10</v>
      </c>
      <c r="G40" s="34"/>
      <c r="I40" s="6" t="s">
        <v>373</v>
      </c>
      <c r="J40" s="6" t="s">
        <v>287</v>
      </c>
      <c r="K40" s="18"/>
      <c r="N40" s="18" t="s">
        <v>440</v>
      </c>
      <c r="O40" s="23"/>
      <c r="P40" s="23"/>
      <c r="Q40" s="18"/>
      <c r="R40" s="18"/>
    </row>
    <row r="41" spans="1:18" s="6" customFormat="1">
      <c r="A41" s="6">
        <v>10005</v>
      </c>
      <c r="B41" s="23" t="s">
        <v>300</v>
      </c>
      <c r="C41" s="30">
        <v>10005</v>
      </c>
      <c r="D41" s="6" t="s">
        <v>295</v>
      </c>
      <c r="E41" s="6">
        <v>10</v>
      </c>
      <c r="G41" s="34"/>
      <c r="I41" s="6" t="s">
        <v>373</v>
      </c>
      <c r="J41" s="6" t="s">
        <v>287</v>
      </c>
      <c r="K41" s="18"/>
      <c r="N41" s="18" t="s">
        <v>321</v>
      </c>
      <c r="O41" s="23"/>
      <c r="P41" s="23"/>
      <c r="Q41" s="18"/>
      <c r="R41" s="18"/>
    </row>
    <row r="42" spans="1:18" s="6" customFormat="1">
      <c r="A42" s="6">
        <v>10006</v>
      </c>
      <c r="B42" s="23" t="s">
        <v>299</v>
      </c>
      <c r="C42" s="30">
        <v>10006</v>
      </c>
      <c r="D42" s="6" t="s">
        <v>295</v>
      </c>
      <c r="E42" s="6">
        <v>10</v>
      </c>
      <c r="G42" s="34"/>
      <c r="I42" s="6" t="s">
        <v>373</v>
      </c>
      <c r="J42" s="6" t="s">
        <v>287</v>
      </c>
      <c r="K42" s="18"/>
      <c r="N42" s="18" t="s">
        <v>322</v>
      </c>
      <c r="O42" s="23"/>
      <c r="P42" s="23"/>
      <c r="Q42" s="18"/>
      <c r="R42" s="18"/>
    </row>
    <row r="43" spans="1:18" s="6" customFormat="1">
      <c r="A43" s="6">
        <v>10007</v>
      </c>
      <c r="B43" s="23" t="s">
        <v>305</v>
      </c>
      <c r="C43" s="30">
        <v>10007</v>
      </c>
      <c r="D43" s="6" t="s">
        <v>295</v>
      </c>
      <c r="E43" s="6">
        <v>10</v>
      </c>
      <c r="G43" s="34"/>
      <c r="I43" s="6" t="s">
        <v>373</v>
      </c>
      <c r="J43" s="6" t="s">
        <v>287</v>
      </c>
      <c r="K43" s="18"/>
      <c r="N43" s="18" t="s">
        <v>301</v>
      </c>
      <c r="O43" s="23"/>
      <c r="P43" s="23"/>
      <c r="Q43" s="18"/>
      <c r="R43" s="18"/>
    </row>
    <row r="44" spans="1:18" s="6" customFormat="1">
      <c r="A44" s="6">
        <v>10008</v>
      </c>
      <c r="B44" s="23" t="s">
        <v>303</v>
      </c>
      <c r="C44" s="30">
        <v>10008</v>
      </c>
      <c r="D44" s="6" t="s">
        <v>202</v>
      </c>
      <c r="E44" s="6">
        <v>10</v>
      </c>
      <c r="G44" s="34">
        <v>1</v>
      </c>
      <c r="I44" s="6" t="s">
        <v>373</v>
      </c>
      <c r="J44" s="6" t="s">
        <v>287</v>
      </c>
      <c r="K44" s="18"/>
      <c r="N44" s="18" t="s">
        <v>304</v>
      </c>
      <c r="O44" s="23"/>
      <c r="P44" s="23"/>
      <c r="Q44" s="18"/>
      <c r="R44" s="18"/>
    </row>
    <row r="45" spans="1:18" s="6" customFormat="1">
      <c r="A45" s="6">
        <v>10009</v>
      </c>
      <c r="B45" s="23" t="s">
        <v>308</v>
      </c>
      <c r="C45" s="30">
        <v>10009</v>
      </c>
      <c r="D45" s="6" t="s">
        <v>202</v>
      </c>
      <c r="E45" s="6">
        <v>10</v>
      </c>
      <c r="G45" s="34"/>
      <c r="I45" s="6" t="s">
        <v>373</v>
      </c>
      <c r="J45" s="6" t="s">
        <v>287</v>
      </c>
      <c r="K45" s="18"/>
      <c r="N45" s="18" t="s">
        <v>314</v>
      </c>
      <c r="O45" s="23"/>
      <c r="P45" s="23"/>
      <c r="Q45" s="18"/>
      <c r="R45" s="18"/>
    </row>
    <row r="46" spans="1:18" s="6" customFormat="1">
      <c r="A46" s="6">
        <v>10010</v>
      </c>
      <c r="B46" s="23" t="s">
        <v>309</v>
      </c>
      <c r="C46" s="30">
        <v>10010</v>
      </c>
      <c r="D46" s="6" t="s">
        <v>202</v>
      </c>
      <c r="E46" s="6">
        <v>10</v>
      </c>
      <c r="G46" s="34"/>
      <c r="I46" s="6" t="s">
        <v>373</v>
      </c>
      <c r="J46" s="6" t="s">
        <v>287</v>
      </c>
      <c r="K46" s="18"/>
      <c r="N46" s="18" t="s">
        <v>315</v>
      </c>
      <c r="O46" s="23"/>
      <c r="P46" s="23"/>
      <c r="Q46" s="18"/>
      <c r="R46" s="18"/>
    </row>
    <row r="47" spans="1:18" s="6" customFormat="1">
      <c r="A47" s="6">
        <v>10011</v>
      </c>
      <c r="B47" s="23" t="s">
        <v>318</v>
      </c>
      <c r="C47" s="30">
        <v>10011</v>
      </c>
      <c r="D47" s="6" t="s">
        <v>202</v>
      </c>
      <c r="E47" s="6">
        <v>10</v>
      </c>
      <c r="G47" s="34"/>
      <c r="I47" s="6" t="s">
        <v>373</v>
      </c>
      <c r="J47" s="6" t="s">
        <v>287</v>
      </c>
      <c r="K47" s="18"/>
      <c r="N47" s="18" t="s">
        <v>319</v>
      </c>
      <c r="P47" s="23"/>
      <c r="Q47" s="18"/>
      <c r="R47" s="18"/>
    </row>
    <row r="48" spans="1:18" s="6" customFormat="1">
      <c r="B48" s="23"/>
      <c r="C48" s="30"/>
      <c r="E48" s="6">
        <v>10</v>
      </c>
      <c r="G48" s="34"/>
      <c r="K48" s="18"/>
      <c r="N48" s="18"/>
      <c r="Q48" s="23"/>
      <c r="R48" s="18"/>
    </row>
    <row r="49" spans="1:18" s="6" customFormat="1">
      <c r="B49" s="23" t="s">
        <v>348</v>
      </c>
      <c r="C49" s="30"/>
      <c r="E49" s="6">
        <v>10</v>
      </c>
      <c r="G49" s="34"/>
      <c r="K49" s="18"/>
      <c r="N49" s="18"/>
      <c r="P49" s="23"/>
      <c r="Q49" s="23"/>
      <c r="R49" s="18"/>
    </row>
    <row r="50" spans="1:18" s="24" customFormat="1">
      <c r="A50" s="24">
        <v>10101</v>
      </c>
      <c r="B50" s="25" t="s">
        <v>275</v>
      </c>
      <c r="C50" s="31">
        <v>10101</v>
      </c>
      <c r="D50" s="24" t="s">
        <v>295</v>
      </c>
      <c r="E50" s="24">
        <v>10</v>
      </c>
      <c r="G50" s="35"/>
      <c r="I50" s="24" t="s">
        <v>373</v>
      </c>
      <c r="J50" s="24" t="s">
        <v>289</v>
      </c>
      <c r="K50" s="26"/>
      <c r="N50" s="26" t="s">
        <v>327</v>
      </c>
      <c r="O50" s="26"/>
      <c r="P50" s="25"/>
      <c r="Q50" s="26"/>
    </row>
    <row r="51" spans="1:18" s="24" customFormat="1">
      <c r="A51" s="24">
        <v>10102</v>
      </c>
      <c r="B51" s="25" t="s">
        <v>311</v>
      </c>
      <c r="C51" s="31">
        <v>10102</v>
      </c>
      <c r="D51" s="24" t="s">
        <v>202</v>
      </c>
      <c r="E51" s="24">
        <v>10</v>
      </c>
      <c r="G51" s="35"/>
      <c r="I51" s="24" t="s">
        <v>373</v>
      </c>
      <c r="J51" s="24" t="s">
        <v>289</v>
      </c>
      <c r="K51" s="26"/>
      <c r="N51" s="26" t="s">
        <v>592</v>
      </c>
      <c r="O51" s="26"/>
      <c r="P51" s="25"/>
      <c r="Q51" s="26"/>
    </row>
    <row r="52" spans="1:18" s="24" customFormat="1">
      <c r="A52" s="24">
        <v>10103</v>
      </c>
      <c r="B52" s="25" t="s">
        <v>324</v>
      </c>
      <c r="C52" s="31">
        <v>10103</v>
      </c>
      <c r="D52" s="24" t="s">
        <v>202</v>
      </c>
      <c r="E52" s="24">
        <v>10</v>
      </c>
      <c r="G52" s="35"/>
      <c r="I52" s="24" t="s">
        <v>373</v>
      </c>
      <c r="J52" s="24" t="s">
        <v>289</v>
      </c>
      <c r="K52" s="26"/>
      <c r="N52" s="26" t="s">
        <v>532</v>
      </c>
      <c r="P52" s="25"/>
      <c r="Q52" s="26"/>
    </row>
    <row r="53" spans="1:18" s="6" customFormat="1">
      <c r="A53" s="6">
        <v>10104</v>
      </c>
      <c r="B53" s="23" t="s">
        <v>323</v>
      </c>
      <c r="C53" s="30">
        <v>10104</v>
      </c>
      <c r="D53" s="6" t="s">
        <v>202</v>
      </c>
      <c r="E53" s="6">
        <v>10</v>
      </c>
      <c r="G53" s="34"/>
      <c r="I53" s="6" t="s">
        <v>373</v>
      </c>
      <c r="J53" s="6" t="s">
        <v>289</v>
      </c>
      <c r="K53" s="18"/>
      <c r="N53" s="18" t="s">
        <v>476</v>
      </c>
      <c r="O53" s="18"/>
      <c r="P53" s="23"/>
      <c r="Q53" s="18"/>
    </row>
    <row r="54" spans="1:18" s="6" customFormat="1">
      <c r="A54" s="6">
        <v>10105</v>
      </c>
      <c r="B54" s="23" t="s">
        <v>330</v>
      </c>
      <c r="C54" s="30">
        <v>10105</v>
      </c>
      <c r="D54" s="6" t="s">
        <v>202</v>
      </c>
      <c r="E54" s="6">
        <v>10</v>
      </c>
      <c r="G54" s="34"/>
      <c r="I54" s="6" t="s">
        <v>373</v>
      </c>
      <c r="J54" s="6" t="s">
        <v>289</v>
      </c>
      <c r="K54" s="18"/>
      <c r="N54" s="18" t="s">
        <v>479</v>
      </c>
      <c r="O54" s="18"/>
      <c r="P54" s="23"/>
      <c r="Q54" s="18"/>
    </row>
    <row r="55" spans="1:18" s="6" customFormat="1">
      <c r="A55" s="6">
        <v>10106</v>
      </c>
      <c r="B55" s="23" t="s">
        <v>313</v>
      </c>
      <c r="C55" s="30">
        <v>10106</v>
      </c>
      <c r="D55" s="6" t="s">
        <v>202</v>
      </c>
      <c r="E55" s="6">
        <v>10</v>
      </c>
      <c r="G55" s="34"/>
      <c r="I55" s="6" t="s">
        <v>373</v>
      </c>
      <c r="J55" s="6" t="s">
        <v>289</v>
      </c>
      <c r="K55" s="18"/>
      <c r="N55" s="18" t="s">
        <v>594</v>
      </c>
      <c r="P55" s="23"/>
      <c r="Q55" s="18"/>
    </row>
    <row r="56" spans="1:18" s="6" customFormat="1">
      <c r="A56" s="6">
        <v>10107</v>
      </c>
      <c r="B56" s="23" t="s">
        <v>317</v>
      </c>
      <c r="C56" s="30">
        <v>10107</v>
      </c>
      <c r="D56" s="6" t="s">
        <v>201</v>
      </c>
      <c r="E56" s="6">
        <v>10</v>
      </c>
      <c r="G56" s="34"/>
      <c r="I56" s="6" t="s">
        <v>373</v>
      </c>
      <c r="J56" s="6" t="s">
        <v>289</v>
      </c>
      <c r="K56" s="18"/>
      <c r="N56" s="18" t="s">
        <v>484</v>
      </c>
      <c r="P56" s="23"/>
      <c r="Q56" s="18"/>
    </row>
    <row r="57" spans="1:18" s="6" customFormat="1">
      <c r="A57" s="6">
        <v>10108</v>
      </c>
      <c r="B57" s="23" t="s">
        <v>312</v>
      </c>
      <c r="C57" s="30">
        <v>10108</v>
      </c>
      <c r="D57" s="6" t="s">
        <v>295</v>
      </c>
      <c r="E57" s="6">
        <v>10</v>
      </c>
      <c r="G57" s="34"/>
      <c r="I57" s="6" t="s">
        <v>373</v>
      </c>
      <c r="J57" s="6" t="s">
        <v>289</v>
      </c>
      <c r="K57" s="18"/>
      <c r="N57" s="18" t="s">
        <v>320</v>
      </c>
      <c r="P57" s="23"/>
      <c r="Q57" s="18"/>
    </row>
    <row r="58" spans="1:18" s="6" customFormat="1">
      <c r="A58" s="6">
        <v>10109</v>
      </c>
      <c r="B58" s="23" t="s">
        <v>331</v>
      </c>
      <c r="C58" s="30">
        <v>10109</v>
      </c>
      <c r="D58" s="6" t="s">
        <v>202</v>
      </c>
      <c r="E58" s="6">
        <v>10</v>
      </c>
      <c r="G58" s="34"/>
      <c r="I58" s="6" t="s">
        <v>373</v>
      </c>
      <c r="J58" s="6" t="s">
        <v>289</v>
      </c>
      <c r="K58" s="18"/>
      <c r="N58" s="18" t="s">
        <v>490</v>
      </c>
      <c r="P58" s="23"/>
      <c r="Q58" s="18"/>
    </row>
    <row r="59" spans="1:18" s="6" customFormat="1">
      <c r="A59" s="6">
        <v>10110</v>
      </c>
      <c r="B59" s="23" t="s">
        <v>326</v>
      </c>
      <c r="C59" s="30">
        <v>10110</v>
      </c>
      <c r="D59" s="6" t="s">
        <v>202</v>
      </c>
      <c r="E59" s="6">
        <v>10</v>
      </c>
      <c r="G59" s="34"/>
      <c r="I59" s="6" t="s">
        <v>373</v>
      </c>
      <c r="J59" s="6" t="s">
        <v>289</v>
      </c>
      <c r="K59" s="18"/>
      <c r="N59" s="18" t="s">
        <v>325</v>
      </c>
      <c r="P59" s="23"/>
      <c r="Q59" s="18"/>
    </row>
    <row r="60" spans="1:18" s="6" customFormat="1">
      <c r="B60" s="23"/>
      <c r="C60" s="30"/>
      <c r="E60" s="6">
        <v>10</v>
      </c>
      <c r="G60" s="34"/>
      <c r="K60" s="18"/>
      <c r="N60" s="18"/>
      <c r="Q60" s="23"/>
      <c r="R60" s="18"/>
    </row>
    <row r="61" spans="1:18" s="6" customFormat="1">
      <c r="B61" s="23" t="s">
        <v>346</v>
      </c>
      <c r="C61" s="30"/>
      <c r="E61" s="6">
        <v>10</v>
      </c>
      <c r="G61" s="34"/>
      <c r="K61" s="18"/>
      <c r="N61" s="18"/>
      <c r="P61" s="23"/>
      <c r="Q61" s="23"/>
      <c r="R61" s="18"/>
    </row>
    <row r="62" spans="1:18" s="24" customFormat="1">
      <c r="A62" s="24">
        <v>10201</v>
      </c>
      <c r="B62" s="25" t="s">
        <v>334</v>
      </c>
      <c r="C62" s="31">
        <v>10201</v>
      </c>
      <c r="D62" s="24" t="s">
        <v>295</v>
      </c>
      <c r="E62" s="24">
        <v>10</v>
      </c>
      <c r="G62" s="35"/>
      <c r="I62" s="24" t="s">
        <v>373</v>
      </c>
      <c r="J62" s="24" t="s">
        <v>291</v>
      </c>
      <c r="K62" s="26"/>
      <c r="N62" s="26" t="s">
        <v>602</v>
      </c>
      <c r="O62" s="26"/>
      <c r="P62" s="25"/>
      <c r="Q62" s="26"/>
    </row>
    <row r="63" spans="1:18" s="24" customFormat="1">
      <c r="A63" s="24">
        <v>10202</v>
      </c>
      <c r="B63" s="25" t="s">
        <v>328</v>
      </c>
      <c r="C63" s="31">
        <v>10202</v>
      </c>
      <c r="D63" s="24" t="s">
        <v>295</v>
      </c>
      <c r="E63" s="24">
        <v>10</v>
      </c>
      <c r="G63" s="35"/>
      <c r="I63" s="24" t="s">
        <v>373</v>
      </c>
      <c r="J63" s="24" t="s">
        <v>291</v>
      </c>
      <c r="K63" s="26"/>
      <c r="N63" s="26" t="s">
        <v>329</v>
      </c>
      <c r="O63" s="26"/>
      <c r="P63" s="25"/>
      <c r="Q63" s="26"/>
    </row>
    <row r="64" spans="1:18" s="24" customFormat="1">
      <c r="A64" s="24">
        <v>10203</v>
      </c>
      <c r="B64" s="25" t="s">
        <v>336</v>
      </c>
      <c r="C64" s="31">
        <v>10203</v>
      </c>
      <c r="D64" s="24" t="s">
        <v>201</v>
      </c>
      <c r="E64" s="24">
        <v>10</v>
      </c>
      <c r="G64" s="35"/>
      <c r="I64" s="24" t="s">
        <v>373</v>
      </c>
      <c r="J64" s="24" t="s">
        <v>291</v>
      </c>
      <c r="K64" s="26"/>
      <c r="N64" s="26" t="s">
        <v>339</v>
      </c>
      <c r="P64" s="25"/>
      <c r="Q64" s="26"/>
    </row>
    <row r="65" spans="1:17" s="6" customFormat="1">
      <c r="A65" s="6">
        <v>10204</v>
      </c>
      <c r="B65" s="23" t="s">
        <v>494</v>
      </c>
      <c r="C65" s="30">
        <v>10204</v>
      </c>
      <c r="D65" s="6" t="s">
        <v>202</v>
      </c>
      <c r="E65" s="6">
        <v>10</v>
      </c>
      <c r="G65" s="34"/>
      <c r="I65" s="6" t="s">
        <v>373</v>
      </c>
      <c r="J65" s="6" t="s">
        <v>291</v>
      </c>
      <c r="K65" s="18"/>
      <c r="N65" s="18" t="s">
        <v>332</v>
      </c>
      <c r="O65" s="18"/>
      <c r="P65" s="23"/>
      <c r="Q65" s="18"/>
    </row>
    <row r="66" spans="1:17" s="6" customFormat="1">
      <c r="A66" s="6">
        <v>10205</v>
      </c>
      <c r="B66" s="23" t="s">
        <v>341</v>
      </c>
      <c r="C66" s="30">
        <v>10205</v>
      </c>
      <c r="D66" s="6" t="s">
        <v>202</v>
      </c>
      <c r="E66" s="6">
        <v>10</v>
      </c>
      <c r="G66" s="34"/>
      <c r="I66" s="6" t="s">
        <v>373</v>
      </c>
      <c r="J66" s="6" t="s">
        <v>291</v>
      </c>
      <c r="K66" s="18"/>
      <c r="N66" s="18" t="s">
        <v>362</v>
      </c>
      <c r="O66" s="18"/>
      <c r="P66" s="23"/>
      <c r="Q66" s="18"/>
    </row>
    <row r="67" spans="1:17" s="6" customFormat="1">
      <c r="A67" s="6">
        <v>10206</v>
      </c>
      <c r="B67" s="23" t="s">
        <v>337</v>
      </c>
      <c r="C67" s="30">
        <v>10206</v>
      </c>
      <c r="D67" s="6" t="s">
        <v>295</v>
      </c>
      <c r="E67" s="6">
        <v>10</v>
      </c>
      <c r="G67" s="34"/>
      <c r="I67" s="6" t="s">
        <v>373</v>
      </c>
      <c r="J67" s="6" t="s">
        <v>291</v>
      </c>
      <c r="K67" s="18"/>
      <c r="N67" s="18" t="s">
        <v>338</v>
      </c>
      <c r="P67" s="23"/>
      <c r="Q67" s="18"/>
    </row>
    <row r="68" spans="1:17" s="6" customFormat="1">
      <c r="A68" s="6">
        <v>10207</v>
      </c>
      <c r="B68" s="23" t="s">
        <v>503</v>
      </c>
      <c r="C68" s="30">
        <v>10207</v>
      </c>
      <c r="D68" s="6" t="s">
        <v>295</v>
      </c>
      <c r="E68" s="6">
        <v>10</v>
      </c>
      <c r="G68" s="34"/>
      <c r="I68" s="6" t="s">
        <v>373</v>
      </c>
      <c r="J68" s="6" t="s">
        <v>291</v>
      </c>
      <c r="K68" s="18"/>
      <c r="N68" s="18" t="s">
        <v>495</v>
      </c>
      <c r="P68" s="23"/>
      <c r="Q68" s="18"/>
    </row>
    <row r="69" spans="1:17" s="6" customFormat="1">
      <c r="A69" s="6">
        <v>10208</v>
      </c>
      <c r="B69" s="23" t="s">
        <v>335</v>
      </c>
      <c r="C69" s="30">
        <v>10208</v>
      </c>
      <c r="D69" s="6" t="s">
        <v>295</v>
      </c>
      <c r="E69" s="6">
        <v>10</v>
      </c>
      <c r="G69" s="34"/>
      <c r="I69" s="6" t="s">
        <v>373</v>
      </c>
      <c r="J69" s="6" t="s">
        <v>291</v>
      </c>
      <c r="K69" s="18"/>
      <c r="N69" s="18" t="s">
        <v>340</v>
      </c>
      <c r="P69" s="23"/>
      <c r="Q69" s="18"/>
    </row>
    <row r="70" spans="1:17" s="6" customFormat="1">
      <c r="A70" s="6">
        <v>10209</v>
      </c>
      <c r="B70" s="23" t="s">
        <v>342</v>
      </c>
      <c r="C70" s="30">
        <v>10209</v>
      </c>
      <c r="D70" s="6" t="s">
        <v>295</v>
      </c>
      <c r="E70" s="6">
        <v>10</v>
      </c>
      <c r="G70" s="34"/>
      <c r="I70" s="6" t="s">
        <v>373</v>
      </c>
      <c r="J70" s="6" t="s">
        <v>291</v>
      </c>
      <c r="K70" s="18"/>
      <c r="N70" s="18" t="s">
        <v>343</v>
      </c>
      <c r="P70" s="23"/>
      <c r="Q70" s="18"/>
    </row>
    <row r="71" spans="1:17" s="6" customFormat="1">
      <c r="A71" s="6">
        <v>10210</v>
      </c>
      <c r="B71" s="23" t="s">
        <v>333</v>
      </c>
      <c r="C71" s="30">
        <v>10210</v>
      </c>
      <c r="D71" s="6" t="s">
        <v>201</v>
      </c>
      <c r="E71" s="6">
        <v>10</v>
      </c>
      <c r="G71" s="34"/>
      <c r="I71" s="6" t="s">
        <v>373</v>
      </c>
      <c r="J71" s="6" t="s">
        <v>291</v>
      </c>
      <c r="K71" s="18"/>
      <c r="N71" s="18" t="s">
        <v>344</v>
      </c>
      <c r="P71" s="23"/>
      <c r="Q71" s="18"/>
    </row>
    <row r="72" spans="1:17" s="6" customFormat="1">
      <c r="A72" s="6">
        <v>10211</v>
      </c>
      <c r="B72" s="23" t="s">
        <v>345</v>
      </c>
      <c r="C72" s="30">
        <v>10211</v>
      </c>
      <c r="D72" s="6" t="s">
        <v>201</v>
      </c>
      <c r="E72" s="6">
        <v>10</v>
      </c>
      <c r="G72" s="34"/>
      <c r="I72" s="6" t="s">
        <v>373</v>
      </c>
      <c r="J72" s="6" t="s">
        <v>291</v>
      </c>
      <c r="K72" s="18"/>
      <c r="N72" s="18" t="s">
        <v>509</v>
      </c>
      <c r="P72" s="23"/>
      <c r="Q72" s="18"/>
    </row>
    <row r="73" spans="1:17" s="6" customFormat="1">
      <c r="B73" s="23"/>
      <c r="C73" s="30"/>
      <c r="E73" s="6">
        <v>10</v>
      </c>
      <c r="G73" s="34"/>
      <c r="K73" s="18"/>
      <c r="N73" s="18"/>
      <c r="Q73" s="18"/>
    </row>
    <row r="74" spans="1:17" s="6" customFormat="1">
      <c r="B74" s="23" t="s">
        <v>347</v>
      </c>
      <c r="C74" s="30"/>
      <c r="E74" s="6">
        <v>10</v>
      </c>
      <c r="G74" s="34"/>
      <c r="K74" s="18"/>
      <c r="N74" s="18"/>
      <c r="P74" s="23"/>
      <c r="Q74" s="18"/>
    </row>
    <row r="75" spans="1:17" s="24" customFormat="1">
      <c r="A75" s="24">
        <v>10301</v>
      </c>
      <c r="B75" s="25" t="s">
        <v>350</v>
      </c>
      <c r="C75" s="31">
        <v>10301</v>
      </c>
      <c r="D75" s="24" t="s">
        <v>295</v>
      </c>
      <c r="E75" s="24">
        <v>10</v>
      </c>
      <c r="G75" s="35"/>
      <c r="I75" s="24" t="s">
        <v>373</v>
      </c>
      <c r="J75" s="24" t="s">
        <v>293</v>
      </c>
      <c r="K75" s="26"/>
      <c r="N75" s="26" t="s">
        <v>351</v>
      </c>
      <c r="O75" s="26"/>
      <c r="P75" s="25"/>
      <c r="Q75" s="26"/>
    </row>
    <row r="76" spans="1:17" s="24" customFormat="1">
      <c r="A76" s="24">
        <v>10302</v>
      </c>
      <c r="B76" s="25" t="s">
        <v>360</v>
      </c>
      <c r="C76" s="31">
        <v>10302</v>
      </c>
      <c r="D76" s="24" t="s">
        <v>295</v>
      </c>
      <c r="E76" s="24">
        <v>10</v>
      </c>
      <c r="G76" s="35"/>
      <c r="I76" s="24" t="s">
        <v>373</v>
      </c>
      <c r="J76" s="24" t="s">
        <v>293</v>
      </c>
      <c r="K76" s="26"/>
      <c r="N76" s="26" t="s">
        <v>576</v>
      </c>
    </row>
    <row r="77" spans="1:17" s="24" customFormat="1">
      <c r="A77" s="24">
        <v>10303</v>
      </c>
      <c r="B77" s="25" t="s">
        <v>567</v>
      </c>
      <c r="C77" s="31">
        <v>10303</v>
      </c>
      <c r="D77" s="24" t="s">
        <v>202</v>
      </c>
      <c r="E77" s="24">
        <v>10</v>
      </c>
      <c r="G77" s="35"/>
      <c r="I77" s="24" t="s">
        <v>373</v>
      </c>
      <c r="J77" s="24" t="s">
        <v>293</v>
      </c>
      <c r="K77" s="26"/>
      <c r="N77" s="26" t="s">
        <v>353</v>
      </c>
      <c r="O77" s="26"/>
      <c r="P77" s="25"/>
      <c r="Q77" s="26"/>
    </row>
    <row r="78" spans="1:17" s="6" customFormat="1">
      <c r="A78" s="6">
        <v>10304</v>
      </c>
      <c r="B78" s="23" t="s">
        <v>572</v>
      </c>
      <c r="C78" s="30">
        <v>10304</v>
      </c>
      <c r="D78" s="6" t="s">
        <v>202</v>
      </c>
      <c r="E78" s="6">
        <v>10</v>
      </c>
      <c r="G78" s="34"/>
      <c r="I78" s="6" t="s">
        <v>373</v>
      </c>
      <c r="J78" s="6" t="s">
        <v>293</v>
      </c>
      <c r="K78" s="18"/>
      <c r="N78" s="18" t="s">
        <v>573</v>
      </c>
      <c r="P78" s="23"/>
      <c r="Q78" s="18"/>
    </row>
    <row r="79" spans="1:17" s="6" customFormat="1">
      <c r="A79" s="6">
        <v>10305</v>
      </c>
      <c r="B79" s="23" t="s">
        <v>354</v>
      </c>
      <c r="C79" s="30">
        <v>10305</v>
      </c>
      <c r="D79" s="6" t="s">
        <v>295</v>
      </c>
      <c r="E79" s="6">
        <v>10</v>
      </c>
      <c r="G79" s="34"/>
      <c r="I79" s="6" t="s">
        <v>373</v>
      </c>
      <c r="J79" s="6" t="s">
        <v>293</v>
      </c>
      <c r="K79" s="18"/>
      <c r="N79" s="18" t="s">
        <v>355</v>
      </c>
      <c r="P79" s="23"/>
      <c r="Q79" s="18"/>
    </row>
    <row r="80" spans="1:17" s="6" customFormat="1">
      <c r="A80" s="6">
        <v>10306</v>
      </c>
      <c r="B80" s="23" t="s">
        <v>352</v>
      </c>
      <c r="C80" s="30">
        <v>10306</v>
      </c>
      <c r="D80" s="6" t="s">
        <v>202</v>
      </c>
      <c r="E80" s="6">
        <v>10</v>
      </c>
      <c r="G80" s="34"/>
      <c r="I80" s="6" t="s">
        <v>373</v>
      </c>
      <c r="J80" s="6" t="s">
        <v>293</v>
      </c>
      <c r="K80" s="18"/>
      <c r="N80" s="18" t="s">
        <v>565</v>
      </c>
      <c r="P80" s="23"/>
      <c r="Q80" s="18"/>
    </row>
    <row r="81" spans="1:17" s="6" customFormat="1">
      <c r="A81" s="6">
        <v>10307</v>
      </c>
      <c r="B81" s="23" t="s">
        <v>520</v>
      </c>
      <c r="C81" s="30">
        <v>10307</v>
      </c>
      <c r="D81" s="6" t="s">
        <v>295</v>
      </c>
      <c r="E81" s="6">
        <v>10</v>
      </c>
      <c r="G81" s="34"/>
      <c r="I81" s="6" t="s">
        <v>373</v>
      </c>
      <c r="J81" s="6" t="s">
        <v>293</v>
      </c>
      <c r="K81" s="18"/>
      <c r="N81" s="18" t="s">
        <v>519</v>
      </c>
      <c r="P81" s="23"/>
      <c r="Q81" s="18"/>
    </row>
    <row r="82" spans="1:17" s="6" customFormat="1">
      <c r="A82" s="6">
        <v>10308</v>
      </c>
      <c r="B82" s="23" t="s">
        <v>357</v>
      </c>
      <c r="C82" s="30">
        <v>10308</v>
      </c>
      <c r="D82" s="6" t="s">
        <v>202</v>
      </c>
      <c r="E82" s="6">
        <v>10</v>
      </c>
      <c r="G82" s="34"/>
      <c r="I82" s="6" t="s">
        <v>373</v>
      </c>
      <c r="J82" s="6" t="s">
        <v>293</v>
      </c>
      <c r="K82" s="18"/>
      <c r="N82" s="18" t="s">
        <v>358</v>
      </c>
      <c r="P82" s="23"/>
      <c r="Q82" s="18"/>
    </row>
    <row r="83" spans="1:17" s="6" customFormat="1">
      <c r="A83" s="6">
        <v>10309</v>
      </c>
      <c r="B83" s="23" t="s">
        <v>359</v>
      </c>
      <c r="C83" s="30">
        <v>10309</v>
      </c>
      <c r="D83" s="6" t="s">
        <v>295</v>
      </c>
      <c r="E83" s="6">
        <v>10</v>
      </c>
      <c r="G83" s="34"/>
      <c r="I83" s="6" t="s">
        <v>373</v>
      </c>
      <c r="J83" s="6" t="s">
        <v>293</v>
      </c>
      <c r="K83" s="18"/>
      <c r="N83" s="18" t="s">
        <v>356</v>
      </c>
      <c r="P83" s="23"/>
      <c r="Q83" s="18"/>
    </row>
    <row r="84" spans="1:17" s="6" customFormat="1">
      <c r="A84" s="6">
        <v>10310</v>
      </c>
      <c r="B84" s="23" t="s">
        <v>525</v>
      </c>
      <c r="C84" s="30">
        <v>10310</v>
      </c>
      <c r="D84" s="6" t="s">
        <v>201</v>
      </c>
      <c r="E84" s="6">
        <v>10</v>
      </c>
      <c r="G84" s="34"/>
      <c r="I84" s="6" t="s">
        <v>373</v>
      </c>
      <c r="J84" s="6" t="s">
        <v>293</v>
      </c>
      <c r="K84" s="18"/>
      <c r="N84" s="18" t="s">
        <v>361</v>
      </c>
      <c r="P84" s="23"/>
      <c r="Q84" s="18"/>
    </row>
    <row r="85" spans="1:17" s="6" customFormat="1">
      <c r="B85" s="23"/>
      <c r="C85" s="30"/>
      <c r="G85" s="34"/>
      <c r="K85" s="18"/>
      <c r="P85" s="23"/>
      <c r="Q85" s="18"/>
    </row>
    <row r="87" spans="1:17">
      <c r="A87" s="11" t="s">
        <v>82</v>
      </c>
    </row>
  </sheetData>
  <phoneticPr fontId="1" type="noConversion"/>
  <dataValidations count="3">
    <dataValidation type="list" allowBlank="1" showInputMessage="1" showErrorMessage="1" sqref="D3:D1048576" xr:uid="{00000000-0002-0000-0100-000000000000}">
      <formula1>Activation</formula1>
    </dataValidation>
    <dataValidation type="list" allowBlank="1" showInputMessage="1" showErrorMessage="1" sqref="J3:J1048576" xr:uid="{00000000-0002-0000-0100-000001000000}">
      <formula1>Divine</formula1>
    </dataValidation>
    <dataValidation type="list" allowBlank="1" showInputMessage="1" showErrorMessage="1" sqref="I3:I1048576" xr:uid="{00000000-0002-0000-0100-000002000000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AB9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16" sqref="C16"/>
    </sheetView>
  </sheetViews>
  <sheetFormatPr defaultColWidth="10.42578125" defaultRowHeight="15.75"/>
  <cols>
    <col min="1" max="1" width="9" style="6" customWidth="1"/>
    <col min="2" max="2" width="15.7109375" style="18" customWidth="1"/>
    <col min="3" max="3" width="49.28515625" style="27" customWidth="1"/>
    <col min="4" max="4" width="14.28515625" customWidth="1"/>
    <col min="5" max="5" width="12.5703125" style="20" customWidth="1"/>
    <col min="6" max="6" width="17.42578125" style="20" customWidth="1"/>
    <col min="7" max="7" width="18.140625" style="29" customWidth="1"/>
    <col min="8" max="8" width="18.140625" style="21" customWidth="1"/>
    <col min="9" max="9" width="18.140625" style="20" customWidth="1"/>
    <col min="10" max="10" width="18.140625" style="29" customWidth="1"/>
    <col min="11" max="11" width="18.140625" style="21" customWidth="1"/>
    <col min="12" max="12" width="18.140625" style="20" customWidth="1"/>
    <col min="13" max="13" width="18.140625" style="29" customWidth="1"/>
    <col min="14" max="14" width="18.140625" style="21" customWidth="1"/>
    <col min="15" max="15" width="18.140625" style="20" customWidth="1"/>
    <col min="16" max="16" width="18.140625" style="29" customWidth="1"/>
    <col min="17" max="17" width="18.140625" style="21" customWidth="1"/>
    <col min="18" max="18" width="18.140625" style="20" customWidth="1"/>
    <col min="19" max="19" width="18.140625" style="29" customWidth="1"/>
    <col min="20" max="20" width="18.140625" style="21" customWidth="1"/>
    <col min="21" max="21" width="18.140625" style="20" customWidth="1"/>
    <col min="22" max="22" width="18.140625" style="29" customWidth="1"/>
    <col min="23" max="23" width="18.140625" style="21" customWidth="1"/>
    <col min="24" max="24" width="18.140625" style="20" customWidth="1"/>
    <col min="25" max="25" width="18.140625" style="29" customWidth="1"/>
    <col min="26" max="26" width="18.140625" style="21" customWidth="1"/>
    <col min="27" max="28" width="10.42578125" style="20"/>
  </cols>
  <sheetData>
    <row r="1" spans="1:26" s="7" customFormat="1">
      <c r="A1" s="7" t="s">
        <v>193</v>
      </c>
      <c r="B1" s="17" t="s">
        <v>84</v>
      </c>
      <c r="C1" s="22" t="s">
        <v>167</v>
      </c>
      <c r="D1" s="7" t="s">
        <v>210</v>
      </c>
      <c r="E1" s="7" t="s">
        <v>212</v>
      </c>
      <c r="F1" s="7" t="s">
        <v>213</v>
      </c>
      <c r="G1" s="28" t="s">
        <v>424</v>
      </c>
      <c r="H1" s="14" t="s">
        <v>257</v>
      </c>
      <c r="I1" s="7" t="s">
        <v>214</v>
      </c>
      <c r="J1" s="28" t="s">
        <v>425</v>
      </c>
      <c r="K1" s="14" t="s">
        <v>258</v>
      </c>
      <c r="L1" s="7" t="s">
        <v>215</v>
      </c>
      <c r="M1" s="28" t="s">
        <v>426</v>
      </c>
      <c r="N1" s="14" t="s">
        <v>259</v>
      </c>
      <c r="O1" s="7" t="s">
        <v>216</v>
      </c>
      <c r="P1" s="28" t="s">
        <v>427</v>
      </c>
      <c r="Q1" s="14" t="s">
        <v>260</v>
      </c>
      <c r="R1" s="7" t="s">
        <v>261</v>
      </c>
      <c r="S1" s="28" t="s">
        <v>428</v>
      </c>
      <c r="T1" s="14" t="s">
        <v>262</v>
      </c>
      <c r="U1" s="7" t="s">
        <v>217</v>
      </c>
      <c r="V1" s="28" t="s">
        <v>429</v>
      </c>
      <c r="W1" s="14" t="s">
        <v>263</v>
      </c>
      <c r="X1" s="7" t="s">
        <v>218</v>
      </c>
      <c r="Y1" s="28" t="s">
        <v>430</v>
      </c>
      <c r="Z1" s="14" t="s">
        <v>264</v>
      </c>
    </row>
    <row r="2" spans="1:26" s="7" customFormat="1">
      <c r="A2" s="7" t="s">
        <v>79</v>
      </c>
      <c r="B2" s="17" t="s">
        <v>85</v>
      </c>
      <c r="C2" s="22" t="s">
        <v>168</v>
      </c>
      <c r="D2" s="7" t="s">
        <v>209</v>
      </c>
      <c r="E2" s="7" t="s">
        <v>169</v>
      </c>
      <c r="F2" s="7" t="s">
        <v>170</v>
      </c>
      <c r="G2" s="28" t="s">
        <v>171</v>
      </c>
      <c r="H2" s="14" t="s">
        <v>172</v>
      </c>
      <c r="I2" s="7" t="s">
        <v>173</v>
      </c>
      <c r="J2" s="28" t="s">
        <v>174</v>
      </c>
      <c r="K2" s="14" t="s">
        <v>175</v>
      </c>
      <c r="L2" s="7" t="s">
        <v>176</v>
      </c>
      <c r="M2" s="28" t="s">
        <v>177</v>
      </c>
      <c r="N2" s="14" t="s">
        <v>178</v>
      </c>
      <c r="O2" s="7" t="s">
        <v>179</v>
      </c>
      <c r="P2" s="28" t="s">
        <v>180</v>
      </c>
      <c r="Q2" s="14" t="s">
        <v>181</v>
      </c>
      <c r="R2" s="7" t="s">
        <v>182</v>
      </c>
      <c r="S2" s="28" t="s">
        <v>183</v>
      </c>
      <c r="T2" s="14" t="s">
        <v>184</v>
      </c>
      <c r="U2" s="7" t="s">
        <v>185</v>
      </c>
      <c r="V2" s="28" t="s">
        <v>186</v>
      </c>
      <c r="W2" s="14" t="s">
        <v>187</v>
      </c>
      <c r="X2" s="7" t="s">
        <v>188</v>
      </c>
      <c r="Y2" s="28" t="s">
        <v>189</v>
      </c>
      <c r="Z2" s="14" t="s">
        <v>190</v>
      </c>
    </row>
    <row r="4" spans="1:26">
      <c r="B4" s="23" t="s">
        <v>274</v>
      </c>
    </row>
    <row r="5" spans="1:26" s="6" customFormat="1">
      <c r="A5" s="6">
        <v>1</v>
      </c>
      <c r="B5" s="18" t="s">
        <v>104</v>
      </c>
      <c r="C5" s="23" t="s">
        <v>222</v>
      </c>
      <c r="D5" s="6">
        <v>1</v>
      </c>
      <c r="E5" s="6" t="s">
        <v>211</v>
      </c>
      <c r="F5" s="6" t="s">
        <v>528</v>
      </c>
      <c r="G5" s="30">
        <v>5</v>
      </c>
      <c r="H5" s="15">
        <v>1</v>
      </c>
      <c r="I5" s="6" t="s">
        <v>528</v>
      </c>
      <c r="J5" s="30">
        <v>5</v>
      </c>
      <c r="K5" s="15">
        <v>1</v>
      </c>
      <c r="L5" s="6" t="s">
        <v>528</v>
      </c>
      <c r="M5" s="30">
        <v>5</v>
      </c>
      <c r="N5" s="15">
        <v>1</v>
      </c>
      <c r="O5" s="6" t="s">
        <v>528</v>
      </c>
      <c r="P5" s="30">
        <v>5</v>
      </c>
      <c r="Q5" s="15">
        <v>1</v>
      </c>
      <c r="R5" s="6" t="s">
        <v>528</v>
      </c>
      <c r="S5" s="30">
        <v>5</v>
      </c>
      <c r="T5" s="15">
        <v>1</v>
      </c>
      <c r="U5" s="6" t="s">
        <v>219</v>
      </c>
      <c r="V5" s="30">
        <v>5</v>
      </c>
      <c r="W5" s="15">
        <v>1</v>
      </c>
      <c r="Y5" s="30"/>
      <c r="Z5" s="15"/>
    </row>
    <row r="6" spans="1:26">
      <c r="A6" s="6">
        <v>2</v>
      </c>
      <c r="B6" s="18" t="s">
        <v>107</v>
      </c>
      <c r="C6" s="23" t="s">
        <v>223</v>
      </c>
      <c r="D6" s="6">
        <v>2</v>
      </c>
      <c r="E6" s="6" t="s">
        <v>211</v>
      </c>
      <c r="F6" s="6" t="s">
        <v>528</v>
      </c>
      <c r="G6" s="30">
        <v>50</v>
      </c>
      <c r="H6" s="15">
        <v>1</v>
      </c>
      <c r="I6" s="6" t="s">
        <v>221</v>
      </c>
      <c r="J6" s="30">
        <v>3</v>
      </c>
      <c r="K6" s="15">
        <v>1</v>
      </c>
      <c r="L6" s="6" t="s">
        <v>220</v>
      </c>
      <c r="M6" s="30">
        <v>3</v>
      </c>
      <c r="N6" s="15">
        <v>1</v>
      </c>
      <c r="O6" s="6"/>
      <c r="P6" s="30"/>
      <c r="Q6" s="15"/>
      <c r="R6" s="6"/>
      <c r="S6" s="30"/>
      <c r="T6" s="15"/>
      <c r="U6" s="6"/>
      <c r="V6" s="30"/>
      <c r="W6" s="15"/>
      <c r="X6" s="6"/>
      <c r="Y6" s="30"/>
      <c r="Z6" s="15"/>
    </row>
    <row r="7" spans="1:26">
      <c r="A7" s="6">
        <v>3</v>
      </c>
      <c r="B7" s="18" t="s">
        <v>100</v>
      </c>
      <c r="C7" s="23" t="s">
        <v>225</v>
      </c>
      <c r="D7" s="6">
        <v>3</v>
      </c>
      <c r="E7" s="6" t="s">
        <v>211</v>
      </c>
      <c r="F7" s="6" t="s">
        <v>528</v>
      </c>
      <c r="G7" s="30">
        <v>40</v>
      </c>
      <c r="H7" s="15">
        <v>1</v>
      </c>
      <c r="I7" s="6" t="s">
        <v>206</v>
      </c>
      <c r="J7" s="30">
        <v>4</v>
      </c>
      <c r="K7" s="15">
        <v>1</v>
      </c>
      <c r="L7" s="6"/>
      <c r="M7" s="30"/>
      <c r="N7" s="15"/>
      <c r="O7" s="6"/>
      <c r="P7" s="30"/>
      <c r="Q7" s="15"/>
      <c r="R7" s="6"/>
      <c r="S7" s="30"/>
      <c r="T7" s="15"/>
      <c r="U7" s="6"/>
      <c r="V7" s="30"/>
      <c r="W7" s="15"/>
      <c r="X7" s="6"/>
      <c r="Y7" s="30"/>
      <c r="Z7" s="15"/>
    </row>
    <row r="8" spans="1:26">
      <c r="A8" s="6">
        <v>4</v>
      </c>
      <c r="B8" s="18" t="s">
        <v>108</v>
      </c>
      <c r="C8" s="23" t="s">
        <v>227</v>
      </c>
      <c r="D8" s="6">
        <v>4</v>
      </c>
      <c r="E8" s="6" t="s">
        <v>211</v>
      </c>
      <c r="F8" s="6" t="s">
        <v>528</v>
      </c>
      <c r="G8" s="30">
        <v>40</v>
      </c>
      <c r="H8" s="15">
        <v>1</v>
      </c>
      <c r="I8" s="6" t="s">
        <v>228</v>
      </c>
      <c r="J8" s="30">
        <v>20</v>
      </c>
      <c r="K8" s="15">
        <v>1</v>
      </c>
      <c r="L8" s="6"/>
      <c r="M8" s="30"/>
      <c r="N8" s="15"/>
      <c r="O8" s="6"/>
      <c r="P8" s="30"/>
      <c r="Q8" s="15"/>
      <c r="R8" s="6"/>
      <c r="S8" s="30"/>
      <c r="T8" s="15"/>
      <c r="U8" s="6"/>
      <c r="V8" s="30"/>
      <c r="W8" s="15"/>
      <c r="X8" s="6"/>
      <c r="Y8" s="30"/>
      <c r="Z8" s="15"/>
    </row>
    <row r="9" spans="1:26">
      <c r="A9" s="6">
        <v>5</v>
      </c>
      <c r="B9" s="18" t="s">
        <v>106</v>
      </c>
      <c r="C9" s="23" t="s">
        <v>229</v>
      </c>
      <c r="D9" s="6">
        <v>5</v>
      </c>
      <c r="E9" s="6" t="s">
        <v>211</v>
      </c>
      <c r="F9" s="6" t="s">
        <v>528</v>
      </c>
      <c r="G9" s="30">
        <v>50</v>
      </c>
      <c r="H9" s="15">
        <v>1</v>
      </c>
      <c r="I9" s="6" t="s">
        <v>203</v>
      </c>
      <c r="J9" s="30">
        <v>3</v>
      </c>
      <c r="K9" s="15">
        <v>1</v>
      </c>
      <c r="L9" s="6"/>
      <c r="M9" s="30"/>
      <c r="N9" s="15"/>
      <c r="O9" s="6"/>
      <c r="P9" s="30"/>
      <c r="Q9" s="15"/>
      <c r="R9" s="6"/>
      <c r="S9" s="30"/>
      <c r="T9" s="15"/>
      <c r="U9" s="6"/>
      <c r="V9" s="30"/>
      <c r="W9" s="15"/>
      <c r="X9" s="6"/>
      <c r="Y9" s="30"/>
      <c r="Z9" s="15"/>
    </row>
    <row r="10" spans="1:26">
      <c r="A10" s="6">
        <v>6</v>
      </c>
      <c r="B10" s="18" t="s">
        <v>101</v>
      </c>
      <c r="C10" s="23" t="s">
        <v>227</v>
      </c>
      <c r="D10" s="6">
        <v>6</v>
      </c>
      <c r="E10" s="6" t="s">
        <v>211</v>
      </c>
      <c r="F10" s="6" t="s">
        <v>528</v>
      </c>
      <c r="G10" s="30">
        <v>60</v>
      </c>
      <c r="H10" s="15">
        <v>1</v>
      </c>
      <c r="I10" s="6" t="s">
        <v>228</v>
      </c>
      <c r="J10" s="30">
        <v>30</v>
      </c>
      <c r="K10" s="15">
        <v>1</v>
      </c>
      <c r="L10" s="6"/>
      <c r="M10" s="30"/>
      <c r="N10" s="15"/>
      <c r="O10" s="6"/>
      <c r="P10" s="30"/>
      <c r="Q10" s="15"/>
      <c r="R10" s="6"/>
      <c r="S10" s="30"/>
      <c r="T10" s="15"/>
      <c r="U10" s="6"/>
      <c r="V10" s="30"/>
      <c r="W10" s="15"/>
      <c r="X10" s="6"/>
      <c r="Y10" s="30"/>
      <c r="Z10" s="15"/>
    </row>
    <row r="11" spans="1:26">
      <c r="A11" s="6">
        <v>7</v>
      </c>
      <c r="B11" s="18" t="s">
        <v>109</v>
      </c>
      <c r="C11" s="23" t="s">
        <v>231</v>
      </c>
      <c r="D11" s="6">
        <v>7</v>
      </c>
      <c r="E11" s="6" t="s">
        <v>211</v>
      </c>
      <c r="F11" s="6" t="s">
        <v>528</v>
      </c>
      <c r="G11" s="30">
        <v>40</v>
      </c>
      <c r="H11" s="15">
        <v>1</v>
      </c>
      <c r="I11" s="6" t="s">
        <v>230</v>
      </c>
      <c r="J11" s="30">
        <v>3</v>
      </c>
      <c r="K11" s="15">
        <v>1</v>
      </c>
      <c r="L11" s="6"/>
      <c r="M11" s="30"/>
      <c r="N11" s="15"/>
      <c r="O11" s="6"/>
      <c r="P11" s="30"/>
      <c r="Q11" s="15"/>
      <c r="R11" s="6"/>
      <c r="S11" s="30"/>
      <c r="T11" s="15"/>
      <c r="U11" s="6"/>
      <c r="V11" s="30"/>
      <c r="W11" s="15"/>
      <c r="X11" s="6"/>
      <c r="Y11" s="30"/>
      <c r="Z11" s="15"/>
    </row>
    <row r="12" spans="1:26">
      <c r="A12" s="6">
        <v>8</v>
      </c>
      <c r="B12" s="18" t="s">
        <v>102</v>
      </c>
      <c r="C12" s="23" t="s">
        <v>232</v>
      </c>
      <c r="D12" s="6">
        <v>8</v>
      </c>
      <c r="E12" s="6" t="s">
        <v>211</v>
      </c>
      <c r="F12" s="6" t="s">
        <v>528</v>
      </c>
      <c r="G12" s="30">
        <v>60</v>
      </c>
      <c r="H12" s="15">
        <v>1</v>
      </c>
      <c r="I12" s="6" t="s">
        <v>219</v>
      </c>
      <c r="J12" s="30">
        <v>10</v>
      </c>
      <c r="K12" s="15">
        <v>1</v>
      </c>
      <c r="L12" s="6"/>
      <c r="M12" s="30"/>
      <c r="N12" s="15"/>
      <c r="O12" s="6"/>
      <c r="P12" s="30"/>
      <c r="Q12" s="15"/>
      <c r="R12" s="6"/>
      <c r="S12" s="30"/>
      <c r="T12" s="15"/>
      <c r="U12" s="6"/>
      <c r="V12" s="30"/>
      <c r="W12" s="15"/>
      <c r="X12" s="6"/>
      <c r="Y12" s="30"/>
      <c r="Z12" s="15"/>
    </row>
    <row r="13" spans="1:26">
      <c r="A13" s="6">
        <v>9</v>
      </c>
      <c r="B13" s="18" t="s">
        <v>233</v>
      </c>
      <c r="C13" s="23" t="s">
        <v>226</v>
      </c>
      <c r="D13" s="6">
        <v>9</v>
      </c>
      <c r="E13" s="6" t="s">
        <v>211</v>
      </c>
      <c r="F13" s="6" t="s">
        <v>528</v>
      </c>
      <c r="G13" s="30">
        <v>40</v>
      </c>
      <c r="H13" s="15">
        <v>1</v>
      </c>
      <c r="I13" s="6"/>
      <c r="J13" s="30"/>
      <c r="K13" s="15"/>
      <c r="L13" s="6"/>
      <c r="M13" s="30"/>
      <c r="N13" s="15"/>
      <c r="O13" s="6"/>
      <c r="P13" s="30"/>
      <c r="Q13" s="15"/>
      <c r="R13" s="6"/>
      <c r="S13" s="30"/>
      <c r="T13" s="15"/>
      <c r="U13" s="6"/>
      <c r="V13" s="30"/>
      <c r="W13" s="15"/>
      <c r="X13" s="6"/>
      <c r="Y13" s="30"/>
      <c r="Z13" s="15"/>
    </row>
    <row r="14" spans="1:26">
      <c r="A14" s="6" t="s">
        <v>234</v>
      </c>
      <c r="B14" s="18" t="s">
        <v>233</v>
      </c>
      <c r="C14" s="23" t="s">
        <v>236</v>
      </c>
      <c r="D14" s="6">
        <v>9</v>
      </c>
      <c r="E14" s="6" t="s">
        <v>235</v>
      </c>
      <c r="F14" s="6" t="s">
        <v>224</v>
      </c>
      <c r="G14" s="30">
        <v>6</v>
      </c>
      <c r="H14" s="15">
        <v>1</v>
      </c>
      <c r="I14" s="6"/>
      <c r="J14" s="30"/>
      <c r="K14" s="15"/>
      <c r="L14" s="6"/>
      <c r="M14" s="30"/>
      <c r="N14" s="15"/>
      <c r="O14" s="6"/>
      <c r="P14" s="30"/>
      <c r="Q14" s="15"/>
      <c r="R14" s="6"/>
      <c r="S14" s="30"/>
      <c r="T14" s="15"/>
      <c r="U14" s="6"/>
      <c r="V14" s="30"/>
      <c r="W14" s="15"/>
      <c r="X14" s="6"/>
      <c r="Y14" s="30"/>
      <c r="Z14" s="15"/>
    </row>
    <row r="15" spans="1:26">
      <c r="A15" s="6">
        <v>10</v>
      </c>
      <c r="B15" s="18" t="s">
        <v>105</v>
      </c>
      <c r="C15" s="23" t="s">
        <v>239</v>
      </c>
      <c r="D15" s="6">
        <v>10</v>
      </c>
      <c r="E15" s="6" t="s">
        <v>235</v>
      </c>
      <c r="F15" s="6" t="s">
        <v>237</v>
      </c>
      <c r="G15" s="30">
        <v>50</v>
      </c>
      <c r="H15" s="15">
        <v>1</v>
      </c>
      <c r="I15" s="6" t="s">
        <v>238</v>
      </c>
      <c r="J15" s="30">
        <v>3</v>
      </c>
      <c r="K15" s="15">
        <v>1</v>
      </c>
      <c r="L15" s="6"/>
      <c r="M15" s="30"/>
      <c r="N15" s="15"/>
      <c r="O15" s="6"/>
      <c r="P15" s="30"/>
      <c r="Q15" s="15"/>
      <c r="R15" s="6"/>
      <c r="S15" s="30"/>
      <c r="T15" s="15"/>
      <c r="U15" s="6"/>
      <c r="V15" s="30"/>
      <c r="W15" s="15"/>
      <c r="X15" s="6"/>
      <c r="Y15" s="30"/>
      <c r="Z15" s="15"/>
    </row>
    <row r="17" spans="1:25">
      <c r="B17" s="23" t="s">
        <v>273</v>
      </c>
    </row>
    <row r="18" spans="1:25">
      <c r="A18" s="6">
        <v>1001</v>
      </c>
      <c r="B18" s="18" t="s">
        <v>240</v>
      </c>
      <c r="C18" s="23" t="s">
        <v>226</v>
      </c>
      <c r="D18" s="6">
        <v>1001</v>
      </c>
      <c r="E18" s="6" t="s">
        <v>211</v>
      </c>
      <c r="F18" s="6" t="s">
        <v>528</v>
      </c>
      <c r="G18" s="30">
        <v>30</v>
      </c>
      <c r="H18" s="15">
        <v>1</v>
      </c>
      <c r="I18" s="6"/>
      <c r="J18" s="30"/>
      <c r="K18" s="15"/>
      <c r="M18" s="30"/>
      <c r="P18" s="30"/>
      <c r="S18" s="30"/>
      <c r="V18" s="30"/>
      <c r="Y18" s="30"/>
    </row>
    <row r="19" spans="1:25">
      <c r="A19" s="6">
        <v>1002</v>
      </c>
      <c r="B19" s="18" t="s">
        <v>250</v>
      </c>
      <c r="C19" s="23" t="s">
        <v>226</v>
      </c>
      <c r="D19" s="6">
        <v>1002</v>
      </c>
      <c r="E19" s="6" t="s">
        <v>211</v>
      </c>
      <c r="F19" s="6" t="s">
        <v>528</v>
      </c>
      <c r="G19" s="29" t="s">
        <v>613</v>
      </c>
      <c r="H19" s="15">
        <v>1</v>
      </c>
    </row>
    <row r="20" spans="1:25">
      <c r="A20" s="6" t="s">
        <v>611</v>
      </c>
      <c r="B20" s="18" t="s">
        <v>250</v>
      </c>
      <c r="C20" s="23" t="s">
        <v>226</v>
      </c>
      <c r="D20" s="6">
        <v>1002</v>
      </c>
      <c r="E20" s="6" t="s">
        <v>235</v>
      </c>
      <c r="F20" s="6" t="s">
        <v>616</v>
      </c>
      <c r="G20" s="29" t="s">
        <v>438</v>
      </c>
      <c r="H20" s="15">
        <v>1</v>
      </c>
      <c r="I20" s="20" t="s">
        <v>251</v>
      </c>
      <c r="J20" s="29">
        <v>0.5</v>
      </c>
      <c r="K20" s="15">
        <v>1</v>
      </c>
    </row>
    <row r="21" spans="1:25">
      <c r="A21" s="6">
        <v>1003</v>
      </c>
      <c r="B21" s="18" t="s">
        <v>241</v>
      </c>
      <c r="C21" s="23" t="s">
        <v>232</v>
      </c>
      <c r="D21" s="6">
        <v>1003</v>
      </c>
      <c r="E21" s="6" t="s">
        <v>211</v>
      </c>
      <c r="F21" s="6" t="s">
        <v>528</v>
      </c>
      <c r="G21" s="30" t="s">
        <v>612</v>
      </c>
      <c r="H21" s="15">
        <v>1</v>
      </c>
      <c r="I21" s="6" t="s">
        <v>219</v>
      </c>
      <c r="J21" s="30">
        <v>3</v>
      </c>
      <c r="K21" s="15">
        <v>1</v>
      </c>
      <c r="M21" s="30"/>
      <c r="P21" s="30"/>
      <c r="S21" s="30"/>
      <c r="V21" s="30"/>
      <c r="Y21" s="30"/>
    </row>
    <row r="22" spans="1:25">
      <c r="A22" s="6">
        <v>1004</v>
      </c>
      <c r="B22" s="18" t="s">
        <v>242</v>
      </c>
      <c r="C22" s="23" t="s">
        <v>226</v>
      </c>
      <c r="D22" s="6">
        <v>1004</v>
      </c>
      <c r="E22" s="6" t="s">
        <v>211</v>
      </c>
      <c r="F22" s="6" t="s">
        <v>528</v>
      </c>
      <c r="G22" s="29" t="s">
        <v>612</v>
      </c>
      <c r="H22" s="15">
        <v>1</v>
      </c>
      <c r="I22" s="20" t="s">
        <v>251</v>
      </c>
      <c r="J22" s="29">
        <v>0.5</v>
      </c>
      <c r="K22" s="15">
        <v>1</v>
      </c>
    </row>
    <row r="23" spans="1:25">
      <c r="A23" s="6">
        <v>1005</v>
      </c>
      <c r="B23" s="18" t="s">
        <v>243</v>
      </c>
      <c r="C23" s="23" t="s">
        <v>226</v>
      </c>
      <c r="D23" s="6">
        <v>1005</v>
      </c>
      <c r="E23" s="6" t="s">
        <v>211</v>
      </c>
      <c r="F23" s="6" t="s">
        <v>528</v>
      </c>
      <c r="G23" s="29">
        <v>10</v>
      </c>
      <c r="H23" s="15">
        <v>1</v>
      </c>
    </row>
    <row r="24" spans="1:25">
      <c r="A24" s="6">
        <v>1006</v>
      </c>
      <c r="B24" s="18" t="s">
        <v>614</v>
      </c>
      <c r="C24" s="23" t="s">
        <v>615</v>
      </c>
      <c r="D24" s="6">
        <v>1006</v>
      </c>
      <c r="E24" s="6" t="s">
        <v>211</v>
      </c>
      <c r="F24" s="6" t="s">
        <v>528</v>
      </c>
      <c r="G24" s="29" t="s">
        <v>438</v>
      </c>
      <c r="H24" s="15">
        <v>1</v>
      </c>
      <c r="I24" s="6" t="s">
        <v>220</v>
      </c>
      <c r="J24" s="30" t="s">
        <v>472</v>
      </c>
      <c r="K24" s="15">
        <v>1</v>
      </c>
    </row>
    <row r="25" spans="1:25">
      <c r="A25" s="6">
        <v>1007</v>
      </c>
      <c r="B25" s="18" t="s">
        <v>244</v>
      </c>
      <c r="C25" s="23" t="s">
        <v>252</v>
      </c>
      <c r="D25" s="6">
        <v>1007</v>
      </c>
      <c r="E25" s="6" t="s">
        <v>211</v>
      </c>
      <c r="F25" s="20" t="s">
        <v>251</v>
      </c>
      <c r="G25" s="29">
        <v>4</v>
      </c>
      <c r="H25" s="15">
        <v>1</v>
      </c>
      <c r="K25" s="15"/>
    </row>
    <row r="26" spans="1:25">
      <c r="A26" s="6">
        <v>1008</v>
      </c>
      <c r="B26" s="18" t="s">
        <v>245</v>
      </c>
      <c r="C26" s="23" t="s">
        <v>227</v>
      </c>
      <c r="D26" s="6">
        <v>1008</v>
      </c>
      <c r="E26" s="6" t="s">
        <v>211</v>
      </c>
      <c r="F26" s="6" t="s">
        <v>528</v>
      </c>
      <c r="G26" s="30">
        <v>10</v>
      </c>
      <c r="H26" s="15">
        <v>1</v>
      </c>
      <c r="I26" s="6" t="s">
        <v>228</v>
      </c>
      <c r="J26" s="30">
        <v>20</v>
      </c>
      <c r="K26" s="15">
        <v>1</v>
      </c>
      <c r="L26" s="6"/>
      <c r="M26" s="30"/>
      <c r="N26" s="15"/>
      <c r="P26" s="30"/>
      <c r="S26" s="30"/>
      <c r="V26" s="30"/>
      <c r="Y26" s="30"/>
    </row>
    <row r="27" spans="1:25">
      <c r="A27" s="6">
        <v>1009</v>
      </c>
      <c r="B27" s="18" t="s">
        <v>246</v>
      </c>
      <c r="C27" s="23" t="s">
        <v>253</v>
      </c>
      <c r="D27" s="6">
        <v>1009</v>
      </c>
      <c r="E27" s="6" t="s">
        <v>211</v>
      </c>
      <c r="F27" s="20" t="s">
        <v>254</v>
      </c>
      <c r="G27" s="29">
        <v>3</v>
      </c>
      <c r="H27" s="15">
        <v>1</v>
      </c>
    </row>
    <row r="28" spans="1:25">
      <c r="A28" s="6">
        <v>1010</v>
      </c>
      <c r="B28" s="18" t="s">
        <v>247</v>
      </c>
      <c r="C28" s="23" t="s">
        <v>232</v>
      </c>
      <c r="D28" s="6">
        <v>1010</v>
      </c>
      <c r="E28" s="6" t="s">
        <v>211</v>
      </c>
      <c r="F28" s="6" t="s">
        <v>528</v>
      </c>
      <c r="G28" s="30">
        <v>20</v>
      </c>
      <c r="H28" s="15">
        <v>1</v>
      </c>
      <c r="I28" s="6" t="s">
        <v>219</v>
      </c>
      <c r="J28" s="30">
        <v>3</v>
      </c>
      <c r="K28" s="15">
        <v>1</v>
      </c>
      <c r="M28" s="30"/>
      <c r="P28" s="30"/>
      <c r="S28" s="30"/>
      <c r="V28" s="30"/>
      <c r="Y28" s="30"/>
    </row>
    <row r="29" spans="1:25">
      <c r="C29" s="23"/>
      <c r="D29" s="6"/>
      <c r="E29" s="6"/>
      <c r="F29" s="6"/>
      <c r="G29" s="30"/>
      <c r="H29" s="15"/>
      <c r="I29" s="6"/>
      <c r="J29" s="30"/>
      <c r="K29" s="15"/>
      <c r="M29" s="30"/>
      <c r="P29" s="30"/>
      <c r="S29" s="30"/>
      <c r="V29" s="30"/>
      <c r="Y29" s="30"/>
    </row>
    <row r="30" spans="1:25">
      <c r="A30" s="6">
        <v>1011</v>
      </c>
      <c r="B30" s="18" t="s">
        <v>241</v>
      </c>
      <c r="C30" s="23" t="s">
        <v>232</v>
      </c>
      <c r="D30" s="6">
        <v>1011</v>
      </c>
      <c r="E30" s="6" t="s">
        <v>211</v>
      </c>
      <c r="F30" s="20" t="s">
        <v>528</v>
      </c>
      <c r="G30" s="29" t="s">
        <v>612</v>
      </c>
      <c r="H30" s="15">
        <v>1</v>
      </c>
      <c r="I30" s="6"/>
      <c r="J30" s="30"/>
      <c r="K30" s="15"/>
      <c r="M30" s="30"/>
      <c r="P30" s="30"/>
      <c r="S30" s="30"/>
      <c r="V30" s="30"/>
      <c r="Y30" s="30"/>
    </row>
    <row r="31" spans="1:25">
      <c r="B31" s="18" t="s">
        <v>241</v>
      </c>
      <c r="C31" s="23" t="s">
        <v>232</v>
      </c>
      <c r="D31" s="6">
        <v>1011</v>
      </c>
      <c r="E31" s="6" t="s">
        <v>235</v>
      </c>
      <c r="F31" s="6"/>
      <c r="H31" s="15"/>
      <c r="K31" s="15"/>
    </row>
    <row r="32" spans="1:25">
      <c r="A32" s="6">
        <v>1012</v>
      </c>
      <c r="B32" s="18" t="s">
        <v>241</v>
      </c>
      <c r="C32" s="23" t="s">
        <v>232</v>
      </c>
      <c r="D32" s="6">
        <v>1012</v>
      </c>
      <c r="E32" s="6" t="s">
        <v>211</v>
      </c>
      <c r="F32" s="20" t="s">
        <v>528</v>
      </c>
      <c r="G32" s="29" t="s">
        <v>612</v>
      </c>
      <c r="H32" s="15">
        <v>1</v>
      </c>
      <c r="I32" s="6"/>
      <c r="J32" s="30"/>
      <c r="K32" s="15"/>
      <c r="M32" s="30"/>
      <c r="P32" s="30"/>
      <c r="S32" s="30"/>
      <c r="V32" s="30"/>
      <c r="Y32" s="30"/>
    </row>
    <row r="33" spans="1:25">
      <c r="B33" s="18" t="s">
        <v>241</v>
      </c>
      <c r="C33" s="23" t="s">
        <v>232</v>
      </c>
      <c r="D33" s="6">
        <v>1012</v>
      </c>
      <c r="E33" s="6" t="s">
        <v>235</v>
      </c>
      <c r="F33" s="6"/>
      <c r="H33" s="15"/>
      <c r="K33" s="15"/>
    </row>
    <row r="34" spans="1:25">
      <c r="A34" s="6">
        <v>1013</v>
      </c>
      <c r="B34" s="18" t="s">
        <v>241</v>
      </c>
      <c r="C34" s="23" t="s">
        <v>232</v>
      </c>
      <c r="D34" s="6">
        <v>1013</v>
      </c>
      <c r="E34" s="6" t="s">
        <v>211</v>
      </c>
      <c r="F34" s="20" t="s">
        <v>528</v>
      </c>
      <c r="G34" s="29" t="s">
        <v>612</v>
      </c>
      <c r="H34" s="15">
        <v>1</v>
      </c>
      <c r="I34" s="6"/>
      <c r="J34" s="30"/>
      <c r="K34" s="15"/>
      <c r="M34" s="30"/>
      <c r="P34" s="30"/>
      <c r="S34" s="30"/>
      <c r="V34" s="30"/>
      <c r="Y34" s="30"/>
    </row>
    <row r="35" spans="1:25">
      <c r="B35" s="18" t="s">
        <v>241</v>
      </c>
      <c r="C35" s="23" t="s">
        <v>232</v>
      </c>
      <c r="D35" s="6">
        <v>1013</v>
      </c>
      <c r="E35" s="6" t="s">
        <v>235</v>
      </c>
      <c r="F35" s="6"/>
      <c r="H35" s="15"/>
      <c r="K35" s="15"/>
    </row>
    <row r="36" spans="1:25">
      <c r="A36" s="6">
        <v>1014</v>
      </c>
      <c r="B36" s="18" t="s">
        <v>241</v>
      </c>
      <c r="C36" s="23" t="s">
        <v>232</v>
      </c>
      <c r="D36" s="6">
        <v>1014</v>
      </c>
      <c r="E36" s="6" t="s">
        <v>211</v>
      </c>
      <c r="F36" s="20" t="s">
        <v>528</v>
      </c>
      <c r="G36" s="29" t="s">
        <v>612</v>
      </c>
      <c r="H36" s="15">
        <v>1</v>
      </c>
      <c r="I36" s="6"/>
      <c r="J36" s="30"/>
      <c r="K36" s="15"/>
      <c r="M36" s="30"/>
      <c r="P36" s="30"/>
      <c r="S36" s="30"/>
      <c r="V36" s="30"/>
      <c r="Y36" s="30"/>
    </row>
    <row r="37" spans="1:25">
      <c r="B37" s="18" t="s">
        <v>241</v>
      </c>
      <c r="C37" s="23" t="s">
        <v>232</v>
      </c>
      <c r="D37" s="6">
        <v>1014</v>
      </c>
      <c r="E37" s="6" t="s">
        <v>235</v>
      </c>
      <c r="F37" s="6"/>
      <c r="H37" s="15"/>
      <c r="K37" s="15"/>
    </row>
    <row r="38" spans="1:25">
      <c r="A38" s="6">
        <v>1015</v>
      </c>
      <c r="B38" s="18" t="s">
        <v>241</v>
      </c>
      <c r="C38" s="23" t="s">
        <v>232</v>
      </c>
      <c r="D38" s="6">
        <v>1015</v>
      </c>
      <c r="E38" s="6" t="s">
        <v>211</v>
      </c>
      <c r="F38" s="20" t="s">
        <v>528</v>
      </c>
      <c r="G38" s="29" t="s">
        <v>612</v>
      </c>
      <c r="H38" s="15">
        <v>1</v>
      </c>
      <c r="I38" s="6"/>
      <c r="J38" s="30"/>
      <c r="K38" s="15"/>
      <c r="M38" s="30"/>
      <c r="P38" s="30"/>
      <c r="S38" s="30"/>
      <c r="V38" s="30"/>
      <c r="Y38" s="30"/>
    </row>
    <row r="39" spans="1:25">
      <c r="B39" s="18" t="s">
        <v>241</v>
      </c>
      <c r="C39" s="23" t="s">
        <v>232</v>
      </c>
      <c r="D39" s="6">
        <v>1015</v>
      </c>
      <c r="E39" s="6" t="s">
        <v>235</v>
      </c>
      <c r="F39" s="6"/>
      <c r="H39" s="15"/>
      <c r="K39" s="15"/>
    </row>
    <row r="40" spans="1:25">
      <c r="A40" s="6">
        <v>1016</v>
      </c>
      <c r="B40" s="18" t="s">
        <v>241</v>
      </c>
      <c r="C40" s="23" t="s">
        <v>232</v>
      </c>
      <c r="D40" s="6">
        <v>1016</v>
      </c>
      <c r="E40" s="6" t="s">
        <v>211</v>
      </c>
      <c r="F40" s="20" t="s">
        <v>528</v>
      </c>
      <c r="G40" s="29" t="s">
        <v>612</v>
      </c>
      <c r="H40" s="15">
        <v>1</v>
      </c>
      <c r="I40" s="6"/>
      <c r="J40" s="30"/>
      <c r="K40" s="15"/>
      <c r="M40" s="30"/>
      <c r="P40" s="30"/>
      <c r="S40" s="30"/>
      <c r="V40" s="30"/>
      <c r="Y40" s="30"/>
    </row>
    <row r="41" spans="1:25">
      <c r="B41" s="18" t="s">
        <v>241</v>
      </c>
      <c r="C41" s="23" t="s">
        <v>232</v>
      </c>
      <c r="D41" s="6">
        <v>1016</v>
      </c>
      <c r="E41" s="6" t="s">
        <v>235</v>
      </c>
      <c r="F41" s="6"/>
      <c r="H41" s="15"/>
      <c r="K41" s="15"/>
    </row>
    <row r="42" spans="1:25">
      <c r="C42" s="23"/>
      <c r="D42" s="6"/>
      <c r="E42" s="6"/>
      <c r="F42" s="6"/>
      <c r="G42" s="30"/>
      <c r="H42" s="15"/>
      <c r="I42" s="6"/>
      <c r="J42" s="30"/>
      <c r="K42" s="15"/>
      <c r="M42" s="30"/>
      <c r="P42" s="30"/>
      <c r="S42" s="30"/>
      <c r="V42" s="30"/>
      <c r="Y42" s="30"/>
    </row>
    <row r="43" spans="1:25">
      <c r="B43" s="18" t="s">
        <v>374</v>
      </c>
      <c r="C43" s="23"/>
      <c r="D43" s="6"/>
      <c r="E43" s="6"/>
      <c r="F43" s="6"/>
      <c r="G43" s="30"/>
      <c r="H43" s="15"/>
      <c r="I43" s="6"/>
      <c r="J43" s="30"/>
      <c r="K43" s="15"/>
      <c r="L43" s="6"/>
      <c r="M43" s="30"/>
      <c r="N43" s="15"/>
      <c r="P43" s="30"/>
      <c r="S43" s="30"/>
      <c r="V43" s="30"/>
      <c r="Y43" s="30"/>
    </row>
    <row r="44" spans="1:25">
      <c r="B44" s="18" t="s">
        <v>375</v>
      </c>
      <c r="C44" s="23"/>
      <c r="D44" s="6"/>
      <c r="E44" s="6"/>
      <c r="F44" s="6"/>
      <c r="G44" s="30"/>
      <c r="H44" s="15"/>
      <c r="I44" s="6"/>
      <c r="J44" s="30"/>
      <c r="K44" s="15"/>
      <c r="L44" s="6"/>
      <c r="M44" s="30"/>
      <c r="N44" s="15"/>
      <c r="P44" s="30"/>
      <c r="S44" s="30"/>
      <c r="V44" s="30"/>
      <c r="Y44" s="30"/>
    </row>
    <row r="45" spans="1:25">
      <c r="A45" s="6">
        <v>10001</v>
      </c>
      <c r="B45" s="18" t="s">
        <v>376</v>
      </c>
      <c r="C45" s="23" t="s">
        <v>316</v>
      </c>
      <c r="D45" s="6">
        <v>10001</v>
      </c>
      <c r="E45" s="6" t="s">
        <v>211</v>
      </c>
      <c r="F45" s="6" t="s">
        <v>418</v>
      </c>
      <c r="G45" s="30">
        <v>1</v>
      </c>
      <c r="H45" s="15">
        <v>1</v>
      </c>
      <c r="I45" s="6"/>
      <c r="J45" s="30"/>
      <c r="K45" s="15"/>
      <c r="L45" s="6"/>
      <c r="M45" s="30"/>
      <c r="N45" s="15"/>
      <c r="P45" s="30"/>
      <c r="S45" s="30"/>
      <c r="V45" s="30"/>
      <c r="Y45" s="30"/>
    </row>
    <row r="46" spans="1:25">
      <c r="A46" s="6">
        <v>10002</v>
      </c>
      <c r="B46" s="18" t="s">
        <v>377</v>
      </c>
      <c r="C46" s="23" t="s">
        <v>436</v>
      </c>
      <c r="D46" s="6">
        <v>10002</v>
      </c>
      <c r="E46" s="6" t="s">
        <v>235</v>
      </c>
      <c r="F46" s="6" t="s">
        <v>422</v>
      </c>
      <c r="G46" s="30" t="s">
        <v>432</v>
      </c>
      <c r="H46" s="15">
        <v>1</v>
      </c>
      <c r="I46" s="6"/>
      <c r="J46" s="30"/>
      <c r="K46" s="15"/>
      <c r="L46" s="6"/>
      <c r="M46" s="30"/>
      <c r="N46" s="15"/>
      <c r="P46" s="30"/>
      <c r="S46" s="30"/>
      <c r="V46" s="30"/>
      <c r="Y46" s="30"/>
    </row>
    <row r="47" spans="1:25">
      <c r="A47" s="6">
        <v>10003</v>
      </c>
      <c r="B47" s="18" t="s">
        <v>378</v>
      </c>
      <c r="C47" s="23" t="s">
        <v>437</v>
      </c>
      <c r="D47" s="6">
        <v>10003</v>
      </c>
      <c r="E47" s="6" t="s">
        <v>235</v>
      </c>
      <c r="F47" s="6" t="s">
        <v>251</v>
      </c>
      <c r="G47" s="30" t="s">
        <v>438</v>
      </c>
      <c r="H47" s="15">
        <v>1</v>
      </c>
      <c r="I47" s="6" t="s">
        <v>422</v>
      </c>
      <c r="J47" s="30" t="s">
        <v>439</v>
      </c>
      <c r="K47" s="15">
        <v>1</v>
      </c>
      <c r="L47" s="6"/>
      <c r="M47" s="30"/>
      <c r="N47" s="15"/>
      <c r="P47" s="30"/>
      <c r="S47" s="30"/>
      <c r="V47" s="30"/>
      <c r="Y47" s="30"/>
    </row>
    <row r="48" spans="1:25">
      <c r="A48" s="6">
        <v>10004</v>
      </c>
      <c r="B48" s="18" t="s">
        <v>379</v>
      </c>
      <c r="C48" s="23" t="s">
        <v>436</v>
      </c>
      <c r="D48" s="6">
        <v>10004</v>
      </c>
      <c r="E48" s="6" t="s">
        <v>235</v>
      </c>
      <c r="F48" s="6" t="s">
        <v>422</v>
      </c>
      <c r="G48" s="30" t="s">
        <v>441</v>
      </c>
      <c r="H48" s="15">
        <v>1</v>
      </c>
      <c r="I48" s="6"/>
      <c r="J48" s="30"/>
      <c r="K48" s="15"/>
      <c r="L48" s="6"/>
      <c r="M48" s="30"/>
      <c r="N48" s="15"/>
      <c r="P48" s="30"/>
      <c r="S48" s="30"/>
      <c r="V48" s="30"/>
      <c r="Y48" s="30"/>
    </row>
    <row r="49" spans="1:25">
      <c r="A49" s="6">
        <v>10005</v>
      </c>
      <c r="B49" s="18" t="s">
        <v>380</v>
      </c>
      <c r="C49" s="23" t="s">
        <v>449</v>
      </c>
      <c r="D49" s="6">
        <v>10005</v>
      </c>
      <c r="E49" s="6" t="s">
        <v>235</v>
      </c>
      <c r="F49" s="6" t="s">
        <v>445</v>
      </c>
      <c r="G49" s="30" t="s">
        <v>441</v>
      </c>
      <c r="H49" s="15">
        <v>1</v>
      </c>
      <c r="I49" s="6"/>
      <c r="J49" s="30"/>
      <c r="K49" s="15"/>
      <c r="L49" s="6"/>
      <c r="M49" s="30"/>
      <c r="N49" s="15"/>
      <c r="P49" s="30"/>
      <c r="S49" s="30"/>
      <c r="V49" s="30"/>
      <c r="Y49" s="30"/>
    </row>
    <row r="50" spans="1:25">
      <c r="A50" s="6">
        <v>10006</v>
      </c>
      <c r="B50" s="18" t="s">
        <v>381</v>
      </c>
      <c r="C50" s="23" t="s">
        <v>444</v>
      </c>
      <c r="D50" s="6">
        <v>10006</v>
      </c>
      <c r="E50" s="6" t="s">
        <v>235</v>
      </c>
      <c r="F50" s="6" t="s">
        <v>442</v>
      </c>
      <c r="G50" s="30" t="s">
        <v>441</v>
      </c>
      <c r="H50" s="15">
        <v>1</v>
      </c>
      <c r="I50" s="6"/>
      <c r="J50" s="30"/>
      <c r="K50" s="15"/>
      <c r="L50" s="6"/>
      <c r="M50" s="30"/>
      <c r="N50" s="15"/>
      <c r="P50" s="30"/>
      <c r="S50" s="30"/>
      <c r="V50" s="30"/>
      <c r="Y50" s="30"/>
    </row>
    <row r="51" spans="1:25">
      <c r="A51" s="6">
        <v>10007</v>
      </c>
      <c r="B51" s="18" t="s">
        <v>382</v>
      </c>
      <c r="C51" s="23" t="s">
        <v>450</v>
      </c>
      <c r="D51" s="6">
        <v>10007</v>
      </c>
      <c r="E51" s="6" t="s">
        <v>235</v>
      </c>
      <c r="F51" s="6" t="s">
        <v>445</v>
      </c>
      <c r="G51" s="30" t="s">
        <v>451</v>
      </c>
      <c r="H51" s="15">
        <v>1</v>
      </c>
      <c r="I51" s="6" t="s">
        <v>442</v>
      </c>
      <c r="J51" s="30" t="s">
        <v>451</v>
      </c>
      <c r="K51" s="15">
        <v>1</v>
      </c>
      <c r="L51" s="6"/>
      <c r="M51" s="30"/>
      <c r="N51" s="15"/>
      <c r="P51" s="30"/>
      <c r="S51" s="30"/>
      <c r="V51" s="30"/>
      <c r="Y51" s="30"/>
    </row>
    <row r="52" spans="1:25">
      <c r="A52" s="6">
        <v>10008</v>
      </c>
      <c r="B52" s="18" t="s">
        <v>383</v>
      </c>
      <c r="C52" s="23" t="s">
        <v>304</v>
      </c>
      <c r="D52" s="6">
        <v>10008</v>
      </c>
      <c r="E52" s="6" t="s">
        <v>235</v>
      </c>
      <c r="F52" s="6" t="s">
        <v>452</v>
      </c>
      <c r="G52" s="30" t="s">
        <v>455</v>
      </c>
      <c r="H52" s="15">
        <v>1</v>
      </c>
      <c r="I52" s="6"/>
      <c r="J52" s="30"/>
      <c r="K52" s="15"/>
      <c r="L52" s="6"/>
      <c r="M52" s="30"/>
      <c r="N52" s="15"/>
      <c r="P52" s="30"/>
      <c r="S52" s="30"/>
      <c r="V52" s="30"/>
      <c r="Y52" s="30"/>
    </row>
    <row r="53" spans="1:25">
      <c r="A53" s="6">
        <v>10009</v>
      </c>
      <c r="B53" s="18" t="s">
        <v>384</v>
      </c>
      <c r="C53" s="23" t="s">
        <v>462</v>
      </c>
      <c r="D53" s="6">
        <v>10009</v>
      </c>
      <c r="E53" s="6" t="s">
        <v>235</v>
      </c>
      <c r="F53" s="6" t="s">
        <v>456</v>
      </c>
      <c r="G53" s="30" t="s">
        <v>455</v>
      </c>
      <c r="H53" s="15">
        <v>1</v>
      </c>
      <c r="I53" s="6"/>
      <c r="J53" s="30"/>
      <c r="K53" s="15"/>
      <c r="L53" s="6"/>
      <c r="M53" s="30"/>
      <c r="N53" s="15"/>
      <c r="P53" s="30"/>
      <c r="S53" s="30"/>
      <c r="V53" s="30"/>
      <c r="Y53" s="30"/>
    </row>
    <row r="54" spans="1:25">
      <c r="A54" s="6">
        <v>10010</v>
      </c>
      <c r="B54" s="18" t="s">
        <v>385</v>
      </c>
      <c r="C54" s="23" t="s">
        <v>463</v>
      </c>
      <c r="D54" s="6">
        <v>10010</v>
      </c>
      <c r="E54" s="6" t="s">
        <v>235</v>
      </c>
      <c r="F54" s="6" t="s">
        <v>458</v>
      </c>
      <c r="G54" s="30" t="s">
        <v>455</v>
      </c>
      <c r="H54" s="15">
        <v>1</v>
      </c>
      <c r="I54" s="6"/>
      <c r="J54" s="30"/>
      <c r="K54" s="15"/>
      <c r="L54" s="6"/>
      <c r="M54" s="30"/>
      <c r="N54" s="15"/>
      <c r="P54" s="30"/>
      <c r="S54" s="30"/>
      <c r="V54" s="30"/>
      <c r="Y54" s="30"/>
    </row>
    <row r="55" spans="1:25">
      <c r="A55" s="6">
        <v>10011</v>
      </c>
      <c r="B55" s="18" t="s">
        <v>386</v>
      </c>
      <c r="C55" s="23" t="s">
        <v>466</v>
      </c>
      <c r="D55" s="6">
        <v>10011</v>
      </c>
      <c r="E55" s="6" t="s">
        <v>235</v>
      </c>
      <c r="F55" s="6" t="s">
        <v>464</v>
      </c>
      <c r="G55" s="30" t="s">
        <v>438</v>
      </c>
      <c r="H55" s="15">
        <v>1</v>
      </c>
      <c r="I55" s="6"/>
      <c r="J55" s="30"/>
      <c r="K55" s="15"/>
      <c r="L55" s="6"/>
      <c r="M55" s="30"/>
      <c r="N55" s="15"/>
      <c r="P55" s="30"/>
      <c r="S55" s="30"/>
      <c r="V55" s="30"/>
      <c r="Y55" s="30"/>
    </row>
    <row r="56" spans="1:25">
      <c r="C56" s="23"/>
      <c r="D56" s="6"/>
      <c r="E56" s="6"/>
      <c r="F56" s="6"/>
      <c r="G56" s="30"/>
      <c r="H56" s="15"/>
      <c r="I56" s="6"/>
      <c r="J56" s="30"/>
      <c r="K56" s="15"/>
      <c r="L56" s="6"/>
      <c r="M56" s="30"/>
      <c r="N56" s="15"/>
      <c r="P56" s="30"/>
      <c r="S56" s="30"/>
      <c r="V56" s="30"/>
      <c r="Y56" s="30"/>
    </row>
    <row r="57" spans="1:25">
      <c r="B57" s="18" t="s">
        <v>387</v>
      </c>
      <c r="C57" s="23"/>
      <c r="D57" s="6"/>
      <c r="E57" s="6"/>
      <c r="F57" s="6"/>
      <c r="G57" s="30"/>
      <c r="H57" s="15"/>
      <c r="I57" s="6"/>
      <c r="J57" s="30"/>
      <c r="K57" s="15"/>
      <c r="L57" s="6"/>
      <c r="M57" s="30"/>
      <c r="N57" s="15"/>
      <c r="P57" s="30"/>
      <c r="S57" s="30"/>
      <c r="V57" s="30"/>
      <c r="Y57" s="30"/>
    </row>
    <row r="58" spans="1:25">
      <c r="A58" s="6">
        <v>10101</v>
      </c>
      <c r="B58" s="18" t="s">
        <v>388</v>
      </c>
      <c r="C58" s="23" t="s">
        <v>470</v>
      </c>
      <c r="D58" s="6">
        <v>10101</v>
      </c>
      <c r="E58" s="6" t="s">
        <v>235</v>
      </c>
      <c r="F58" s="6" t="s">
        <v>467</v>
      </c>
      <c r="G58" s="30" t="s">
        <v>469</v>
      </c>
      <c r="H58" s="15">
        <v>1</v>
      </c>
      <c r="I58" s="6"/>
      <c r="J58" s="30"/>
      <c r="K58" s="15"/>
      <c r="L58" s="6"/>
      <c r="M58" s="30"/>
      <c r="N58" s="15"/>
      <c r="P58" s="30"/>
      <c r="S58" s="30"/>
      <c r="V58" s="30"/>
      <c r="Y58" s="30"/>
    </row>
    <row r="59" spans="1:25">
      <c r="A59" s="6">
        <v>10102</v>
      </c>
      <c r="B59" s="18" t="s">
        <v>311</v>
      </c>
      <c r="C59" s="23" t="s">
        <v>604</v>
      </c>
      <c r="D59" s="6">
        <v>10102</v>
      </c>
      <c r="E59" s="6" t="s">
        <v>235</v>
      </c>
      <c r="F59" s="6" t="s">
        <v>595</v>
      </c>
      <c r="G59" s="30" t="s">
        <v>591</v>
      </c>
      <c r="H59" s="15">
        <v>1</v>
      </c>
      <c r="I59" s="6"/>
      <c r="J59" s="30"/>
      <c r="K59" s="15"/>
      <c r="L59" s="6"/>
      <c r="M59" s="30"/>
      <c r="N59" s="15"/>
      <c r="P59" s="30"/>
      <c r="S59" s="30"/>
      <c r="V59" s="30"/>
      <c r="Y59" s="30"/>
    </row>
    <row r="60" spans="1:25">
      <c r="A60" s="6">
        <v>10104</v>
      </c>
      <c r="B60" s="18" t="s">
        <v>389</v>
      </c>
      <c r="C60" s="23" t="s">
        <v>475</v>
      </c>
      <c r="D60" s="6">
        <v>10104</v>
      </c>
      <c r="E60" s="6" t="s">
        <v>235</v>
      </c>
      <c r="F60" s="6" t="s">
        <v>477</v>
      </c>
      <c r="G60" s="30" t="s">
        <v>455</v>
      </c>
      <c r="H60" s="15">
        <v>1</v>
      </c>
      <c r="I60" s="6"/>
      <c r="J60" s="30"/>
      <c r="K60" s="15"/>
      <c r="L60" s="6"/>
      <c r="M60" s="30"/>
      <c r="N60" s="15"/>
      <c r="P60" s="30"/>
      <c r="S60" s="30"/>
      <c r="V60" s="30"/>
      <c r="Y60" s="30"/>
    </row>
    <row r="61" spans="1:25">
      <c r="A61" s="6">
        <v>10105</v>
      </c>
      <c r="B61" s="18" t="s">
        <v>390</v>
      </c>
      <c r="C61" s="23" t="s">
        <v>480</v>
      </c>
      <c r="D61" s="6">
        <v>10105</v>
      </c>
      <c r="E61" s="6" t="s">
        <v>235</v>
      </c>
      <c r="F61" s="6" t="s">
        <v>191</v>
      </c>
      <c r="G61" s="30" t="s">
        <v>438</v>
      </c>
      <c r="H61" s="15">
        <v>1</v>
      </c>
      <c r="I61" s="6"/>
      <c r="J61" s="30"/>
      <c r="K61" s="15"/>
      <c r="L61" s="6"/>
      <c r="M61" s="30"/>
      <c r="N61" s="15"/>
      <c r="P61" s="30"/>
      <c r="S61" s="30"/>
      <c r="V61" s="30"/>
      <c r="Y61" s="30"/>
    </row>
    <row r="62" spans="1:25">
      <c r="A62" s="6">
        <v>10106</v>
      </c>
      <c r="B62" s="18" t="s">
        <v>313</v>
      </c>
      <c r="C62" s="23" t="s">
        <v>593</v>
      </c>
      <c r="D62" s="6">
        <v>10106</v>
      </c>
      <c r="E62" s="6" t="s">
        <v>235</v>
      </c>
      <c r="F62" s="6" t="s">
        <v>597</v>
      </c>
      <c r="G62" s="30" t="s">
        <v>469</v>
      </c>
      <c r="H62" s="15">
        <v>1</v>
      </c>
      <c r="I62" s="6"/>
      <c r="J62" s="30"/>
      <c r="K62" s="15"/>
      <c r="L62" s="6"/>
      <c r="M62" s="30"/>
      <c r="N62" s="15"/>
      <c r="P62" s="30"/>
      <c r="S62" s="30"/>
      <c r="V62" s="30"/>
      <c r="Y62" s="30"/>
    </row>
    <row r="63" spans="1:25">
      <c r="A63" s="6">
        <v>10107</v>
      </c>
      <c r="B63" s="18" t="s">
        <v>391</v>
      </c>
      <c r="C63" s="23" t="s">
        <v>483</v>
      </c>
      <c r="D63" s="6">
        <v>10107</v>
      </c>
      <c r="E63" s="6" t="s">
        <v>235</v>
      </c>
      <c r="F63" s="6" t="s">
        <v>481</v>
      </c>
      <c r="G63" s="30" t="s">
        <v>455</v>
      </c>
      <c r="H63" s="15">
        <v>1</v>
      </c>
      <c r="I63" s="6"/>
      <c r="J63" s="30"/>
      <c r="K63" s="15"/>
      <c r="L63" s="6"/>
      <c r="M63" s="30"/>
      <c r="N63" s="15"/>
      <c r="P63" s="30"/>
      <c r="S63" s="30"/>
      <c r="V63" s="30"/>
      <c r="Y63" s="30"/>
    </row>
    <row r="64" spans="1:25">
      <c r="A64" s="6">
        <v>10108</v>
      </c>
      <c r="B64" s="18" t="s">
        <v>392</v>
      </c>
      <c r="C64" s="23" t="s">
        <v>410</v>
      </c>
      <c r="D64" s="6">
        <v>10108</v>
      </c>
      <c r="E64" s="6" t="s">
        <v>235</v>
      </c>
      <c r="F64" s="6" t="s">
        <v>485</v>
      </c>
      <c r="G64" s="30" t="s">
        <v>441</v>
      </c>
      <c r="H64" s="15">
        <v>1</v>
      </c>
      <c r="I64" s="6"/>
      <c r="J64" s="30"/>
      <c r="K64" s="15"/>
      <c r="L64" s="6"/>
      <c r="M64" s="30"/>
      <c r="N64" s="15"/>
      <c r="P64" s="30"/>
      <c r="S64" s="30"/>
      <c r="V64" s="30"/>
      <c r="Y64" s="30"/>
    </row>
    <row r="65" spans="1:25">
      <c r="A65" s="6">
        <v>10109</v>
      </c>
      <c r="B65" s="18" t="s">
        <v>393</v>
      </c>
      <c r="C65" s="23" t="s">
        <v>490</v>
      </c>
      <c r="D65" s="6">
        <v>10109</v>
      </c>
      <c r="E65" s="6" t="s">
        <v>235</v>
      </c>
      <c r="F65" s="6" t="s">
        <v>488</v>
      </c>
      <c r="G65" s="30" t="s">
        <v>455</v>
      </c>
      <c r="H65" s="15">
        <v>1</v>
      </c>
      <c r="I65" s="6"/>
      <c r="J65" s="30"/>
      <c r="K65" s="15"/>
      <c r="L65" s="6"/>
      <c r="M65" s="30"/>
      <c r="N65" s="15"/>
      <c r="P65" s="30"/>
      <c r="S65" s="30"/>
      <c r="V65" s="30"/>
      <c r="Y65" s="30"/>
    </row>
    <row r="66" spans="1:25">
      <c r="A66" s="6">
        <v>10110</v>
      </c>
      <c r="B66" s="18" t="s">
        <v>394</v>
      </c>
      <c r="C66" s="23" t="s">
        <v>411</v>
      </c>
      <c r="D66" s="6">
        <v>10110</v>
      </c>
      <c r="E66" s="6" t="s">
        <v>211</v>
      </c>
      <c r="F66" s="6" t="s">
        <v>230</v>
      </c>
      <c r="G66" s="30" t="s">
        <v>434</v>
      </c>
      <c r="H66" s="15">
        <v>1</v>
      </c>
      <c r="I66" s="6"/>
      <c r="J66" s="30"/>
      <c r="K66" s="15"/>
      <c r="L66" s="6"/>
      <c r="M66" s="30"/>
      <c r="N66" s="15"/>
      <c r="P66" s="30"/>
      <c r="S66" s="30"/>
      <c r="V66" s="30"/>
      <c r="Y66" s="30"/>
    </row>
    <row r="67" spans="1:25">
      <c r="C67" s="23"/>
      <c r="D67" s="6"/>
      <c r="E67" s="6"/>
      <c r="F67" s="6"/>
      <c r="G67" s="30"/>
      <c r="H67" s="15"/>
      <c r="I67" s="6"/>
      <c r="J67" s="30"/>
      <c r="K67" s="15"/>
      <c r="L67" s="6"/>
      <c r="M67" s="30"/>
      <c r="N67" s="15"/>
      <c r="P67" s="30"/>
      <c r="S67" s="30"/>
      <c r="V67" s="30"/>
      <c r="Y67" s="30"/>
    </row>
    <row r="68" spans="1:25">
      <c r="B68" s="18" t="s">
        <v>395</v>
      </c>
      <c r="C68" s="23"/>
      <c r="D68" s="6"/>
      <c r="E68" s="6"/>
      <c r="F68" s="6"/>
      <c r="G68" s="30"/>
      <c r="H68" s="15"/>
      <c r="I68" s="6"/>
      <c r="J68" s="30"/>
      <c r="K68" s="15"/>
      <c r="L68" s="6"/>
      <c r="M68" s="30"/>
      <c r="N68" s="15"/>
      <c r="P68" s="30"/>
      <c r="S68" s="30"/>
      <c r="V68" s="30"/>
      <c r="Y68" s="30"/>
    </row>
    <row r="69" spans="1:25">
      <c r="A69" s="6">
        <v>10201</v>
      </c>
      <c r="B69" s="18" t="s">
        <v>396</v>
      </c>
      <c r="C69" s="23" t="s">
        <v>602</v>
      </c>
      <c r="D69" s="6">
        <v>10201</v>
      </c>
      <c r="E69" s="6" t="s">
        <v>235</v>
      </c>
      <c r="F69" s="6" t="s">
        <v>600</v>
      </c>
      <c r="G69" s="30" t="s">
        <v>472</v>
      </c>
      <c r="H69" s="15">
        <v>1</v>
      </c>
      <c r="I69" s="6"/>
      <c r="J69" s="30"/>
      <c r="K69" s="15"/>
      <c r="L69" s="6"/>
      <c r="M69" s="30"/>
      <c r="N69" s="15"/>
      <c r="P69" s="30"/>
      <c r="S69" s="30"/>
      <c r="V69" s="30"/>
      <c r="Y69" s="30"/>
    </row>
    <row r="70" spans="1:25">
      <c r="A70" s="6">
        <v>10202</v>
      </c>
      <c r="B70" s="18" t="s">
        <v>328</v>
      </c>
      <c r="C70" s="23" t="s">
        <v>329</v>
      </c>
      <c r="D70" s="6">
        <v>10202</v>
      </c>
      <c r="E70" s="6" t="s">
        <v>235</v>
      </c>
      <c r="F70" s="6" t="s">
        <v>579</v>
      </c>
      <c r="G70" s="30" t="s">
        <v>455</v>
      </c>
      <c r="H70" s="15">
        <v>1</v>
      </c>
      <c r="I70" s="6"/>
      <c r="J70" s="30"/>
      <c r="K70" s="15"/>
      <c r="L70" s="6"/>
      <c r="M70" s="30"/>
      <c r="N70" s="15"/>
      <c r="P70" s="30"/>
      <c r="S70" s="30"/>
      <c r="V70" s="30"/>
      <c r="Y70" s="30"/>
    </row>
    <row r="71" spans="1:25">
      <c r="A71" s="6">
        <v>10203</v>
      </c>
      <c r="B71" s="18" t="s">
        <v>397</v>
      </c>
      <c r="C71" s="23" t="s">
        <v>412</v>
      </c>
      <c r="D71" s="6">
        <v>10203</v>
      </c>
      <c r="E71" s="6" t="s">
        <v>211</v>
      </c>
      <c r="F71" s="6" t="s">
        <v>528</v>
      </c>
      <c r="G71" s="30" t="s">
        <v>508</v>
      </c>
      <c r="H71" s="15">
        <v>1</v>
      </c>
      <c r="I71" s="6"/>
      <c r="J71" s="30"/>
      <c r="K71" s="15"/>
      <c r="L71" s="6"/>
      <c r="M71" s="30"/>
      <c r="N71" s="15"/>
      <c r="P71" s="30"/>
      <c r="S71" s="30"/>
      <c r="V71" s="30"/>
      <c r="Y71" s="30"/>
    </row>
    <row r="72" spans="1:25">
      <c r="A72" s="6">
        <v>10204</v>
      </c>
      <c r="B72" s="18" t="s">
        <v>494</v>
      </c>
      <c r="C72" s="23" t="s">
        <v>332</v>
      </c>
      <c r="D72" s="6">
        <v>10204</v>
      </c>
      <c r="E72" s="6" t="s">
        <v>235</v>
      </c>
      <c r="F72" s="6" t="s">
        <v>255</v>
      </c>
      <c r="G72" s="30" t="s">
        <v>438</v>
      </c>
      <c r="H72" s="15">
        <v>1</v>
      </c>
      <c r="I72" s="6"/>
      <c r="J72" s="30"/>
      <c r="K72" s="15"/>
      <c r="L72" s="6"/>
      <c r="M72" s="30"/>
      <c r="N72" s="15"/>
      <c r="P72" s="30"/>
      <c r="S72" s="30"/>
      <c r="V72" s="30"/>
      <c r="Y72" s="30"/>
    </row>
    <row r="73" spans="1:25">
      <c r="A73" s="6">
        <v>10205</v>
      </c>
      <c r="B73" s="18" t="s">
        <v>341</v>
      </c>
      <c r="C73" s="23" t="s">
        <v>362</v>
      </c>
      <c r="D73" s="6">
        <v>10205</v>
      </c>
      <c r="E73" s="6" t="s">
        <v>235</v>
      </c>
      <c r="F73" s="6" t="s">
        <v>496</v>
      </c>
      <c r="G73" s="30" t="s">
        <v>438</v>
      </c>
      <c r="H73" s="15">
        <v>1</v>
      </c>
      <c r="I73" s="6"/>
      <c r="J73" s="30"/>
      <c r="K73" s="15"/>
      <c r="L73" s="6"/>
      <c r="M73" s="30"/>
      <c r="N73" s="15"/>
      <c r="P73" s="30"/>
      <c r="S73" s="30"/>
      <c r="V73" s="30"/>
      <c r="Y73" s="30"/>
    </row>
    <row r="74" spans="1:25">
      <c r="A74" s="6">
        <v>10206</v>
      </c>
      <c r="B74" s="18" t="s">
        <v>398</v>
      </c>
      <c r="C74" s="23" t="s">
        <v>413</v>
      </c>
      <c r="D74" s="6">
        <v>10206</v>
      </c>
      <c r="E74" s="6" t="s">
        <v>235</v>
      </c>
      <c r="F74" s="6" t="s">
        <v>498</v>
      </c>
      <c r="G74" s="30" t="s">
        <v>469</v>
      </c>
      <c r="H74" s="15">
        <v>1</v>
      </c>
      <c r="I74" s="6"/>
      <c r="J74" s="30"/>
      <c r="K74" s="15"/>
      <c r="L74" s="6"/>
      <c r="M74" s="30"/>
      <c r="N74" s="15"/>
      <c r="P74" s="30"/>
      <c r="S74" s="30"/>
      <c r="V74" s="30"/>
      <c r="Y74" s="30"/>
    </row>
    <row r="75" spans="1:25">
      <c r="A75" s="6">
        <v>10207</v>
      </c>
      <c r="B75" s="18" t="s">
        <v>503</v>
      </c>
      <c r="C75" s="23" t="s">
        <v>431</v>
      </c>
      <c r="D75" s="6">
        <v>10207</v>
      </c>
      <c r="E75" s="6" t="s">
        <v>235</v>
      </c>
      <c r="F75" s="6" t="s">
        <v>501</v>
      </c>
      <c r="G75" s="30" t="s">
        <v>505</v>
      </c>
      <c r="H75" s="15">
        <v>1</v>
      </c>
      <c r="I75" s="6"/>
      <c r="J75" s="30"/>
      <c r="K75" s="15"/>
      <c r="L75" s="6"/>
      <c r="M75" s="30"/>
      <c r="N75" s="15"/>
      <c r="P75" s="30"/>
      <c r="S75" s="30"/>
      <c r="V75" s="30"/>
      <c r="Y75" s="30"/>
    </row>
    <row r="76" spans="1:25">
      <c r="A76" s="6">
        <v>10208</v>
      </c>
      <c r="B76" s="18" t="s">
        <v>399</v>
      </c>
      <c r="C76" s="23" t="s">
        <v>414</v>
      </c>
      <c r="D76" s="6">
        <v>10208</v>
      </c>
      <c r="E76" s="6" t="s">
        <v>235</v>
      </c>
      <c r="F76" s="6" t="s">
        <v>491</v>
      </c>
      <c r="G76" s="30" t="s">
        <v>441</v>
      </c>
      <c r="H76" s="15">
        <v>1</v>
      </c>
      <c r="I76" s="6"/>
      <c r="J76" s="30"/>
      <c r="K76" s="15"/>
      <c r="L76" s="6"/>
      <c r="M76" s="30"/>
      <c r="N76" s="15"/>
      <c r="P76" s="30"/>
      <c r="S76" s="30"/>
      <c r="V76" s="30"/>
      <c r="Y76" s="30"/>
    </row>
    <row r="77" spans="1:25">
      <c r="A77" s="6">
        <v>10209</v>
      </c>
      <c r="B77" s="18" t="s">
        <v>400</v>
      </c>
      <c r="C77" s="23" t="s">
        <v>415</v>
      </c>
      <c r="D77" s="6">
        <v>10209</v>
      </c>
      <c r="E77" s="6" t="s">
        <v>235</v>
      </c>
      <c r="F77" s="6" t="s">
        <v>423</v>
      </c>
      <c r="G77" s="30" t="s">
        <v>506</v>
      </c>
      <c r="H77" s="15">
        <v>1</v>
      </c>
      <c r="I77" s="6"/>
      <c r="J77" s="30"/>
      <c r="K77" s="15"/>
      <c r="L77" s="6"/>
      <c r="M77" s="30"/>
      <c r="N77" s="15"/>
      <c r="P77" s="30"/>
      <c r="S77" s="30"/>
      <c r="V77" s="30"/>
      <c r="Y77" s="30"/>
    </row>
    <row r="78" spans="1:25">
      <c r="A78" s="6">
        <v>10210</v>
      </c>
      <c r="B78" s="18" t="s">
        <v>401</v>
      </c>
      <c r="C78" s="23" t="s">
        <v>344</v>
      </c>
      <c r="D78" s="6">
        <v>10210</v>
      </c>
      <c r="E78" s="6" t="s">
        <v>211</v>
      </c>
      <c r="F78" s="6" t="s">
        <v>528</v>
      </c>
      <c r="G78" s="30" t="s">
        <v>507</v>
      </c>
      <c r="H78" s="15">
        <v>1</v>
      </c>
      <c r="I78" s="6"/>
      <c r="J78" s="30"/>
      <c r="K78" s="15"/>
      <c r="L78" s="6"/>
      <c r="M78" s="30"/>
      <c r="N78" s="15"/>
      <c r="P78" s="30"/>
      <c r="S78" s="30"/>
      <c r="V78" s="30"/>
      <c r="Y78" s="30"/>
    </row>
    <row r="79" spans="1:25">
      <c r="A79" s="6">
        <v>10211</v>
      </c>
      <c r="B79" s="18" t="s">
        <v>402</v>
      </c>
      <c r="C79" s="23" t="s">
        <v>509</v>
      </c>
      <c r="D79" s="6">
        <v>10211</v>
      </c>
      <c r="E79" s="6" t="s">
        <v>211</v>
      </c>
      <c r="F79" s="6" t="s">
        <v>528</v>
      </c>
      <c r="G79" s="30" t="s">
        <v>508</v>
      </c>
      <c r="H79" s="15">
        <v>1</v>
      </c>
      <c r="I79" s="6" t="s">
        <v>445</v>
      </c>
      <c r="J79" s="30">
        <v>-20</v>
      </c>
      <c r="K79" s="15">
        <v>1</v>
      </c>
      <c r="L79" s="6" t="s">
        <v>442</v>
      </c>
      <c r="M79" s="30">
        <v>-20</v>
      </c>
      <c r="N79" s="15">
        <v>1</v>
      </c>
      <c r="P79" s="30"/>
      <c r="S79" s="30"/>
      <c r="V79" s="30"/>
      <c r="Y79" s="30"/>
    </row>
    <row r="80" spans="1:25">
      <c r="C80" s="23"/>
      <c r="D80" s="6"/>
      <c r="E80" s="6"/>
      <c r="F80" s="6"/>
      <c r="G80" s="30"/>
      <c r="H80" s="15"/>
      <c r="I80" s="6"/>
      <c r="J80" s="30"/>
      <c r="K80" s="15"/>
      <c r="L80" s="6"/>
      <c r="M80" s="30"/>
      <c r="N80" s="15"/>
      <c r="P80" s="30"/>
      <c r="S80" s="30"/>
      <c r="V80" s="30"/>
      <c r="Y80" s="30"/>
    </row>
    <row r="81" spans="1:25">
      <c r="B81" s="18" t="s">
        <v>403</v>
      </c>
      <c r="C81" s="23"/>
      <c r="D81" s="6"/>
      <c r="E81" s="6"/>
      <c r="F81" s="6"/>
      <c r="G81" s="30"/>
      <c r="H81" s="15"/>
      <c r="I81" s="6"/>
      <c r="J81" s="30"/>
      <c r="K81" s="15"/>
      <c r="L81" s="6"/>
      <c r="M81" s="30"/>
      <c r="N81" s="15"/>
      <c r="P81" s="30"/>
      <c r="S81" s="30"/>
      <c r="V81" s="30"/>
      <c r="Y81" s="30"/>
    </row>
    <row r="82" spans="1:25">
      <c r="A82" s="6">
        <v>10301</v>
      </c>
      <c r="B82" s="18" t="s">
        <v>404</v>
      </c>
      <c r="C82" s="23" t="s">
        <v>351</v>
      </c>
      <c r="D82" s="6">
        <v>10301</v>
      </c>
      <c r="E82" s="6" t="s">
        <v>235</v>
      </c>
      <c r="F82" s="6" t="s">
        <v>510</v>
      </c>
      <c r="G82" s="30" t="s">
        <v>469</v>
      </c>
      <c r="H82" s="15">
        <v>1</v>
      </c>
      <c r="I82" s="6"/>
      <c r="J82" s="30"/>
      <c r="K82" s="15"/>
      <c r="L82" s="6"/>
      <c r="M82" s="30"/>
      <c r="N82" s="15"/>
      <c r="P82" s="30"/>
      <c r="S82" s="30"/>
      <c r="V82" s="30"/>
      <c r="Y82" s="30"/>
    </row>
    <row r="83" spans="1:25">
      <c r="A83" s="6">
        <v>10302</v>
      </c>
      <c r="B83" s="18" t="s">
        <v>405</v>
      </c>
      <c r="C83" s="23" t="s">
        <v>576</v>
      </c>
      <c r="D83" s="6">
        <v>10302</v>
      </c>
      <c r="E83" s="6" t="s">
        <v>235</v>
      </c>
      <c r="F83" s="6" t="s">
        <v>513</v>
      </c>
      <c r="G83" s="30" t="s">
        <v>451</v>
      </c>
      <c r="H83" s="15">
        <v>1</v>
      </c>
      <c r="I83" s="6"/>
      <c r="J83" s="30"/>
      <c r="K83" s="15"/>
      <c r="L83" s="6"/>
      <c r="M83" s="30"/>
      <c r="N83" s="15"/>
      <c r="P83" s="30"/>
      <c r="S83" s="30"/>
      <c r="V83" s="30"/>
      <c r="Y83" s="30"/>
    </row>
    <row r="84" spans="1:25">
      <c r="A84" s="6">
        <v>10303</v>
      </c>
      <c r="B84" s="18" t="s">
        <v>566</v>
      </c>
      <c r="C84" s="23" t="s">
        <v>353</v>
      </c>
      <c r="D84" s="6">
        <v>10303</v>
      </c>
      <c r="E84" s="6" t="s">
        <v>235</v>
      </c>
      <c r="F84" s="6" t="s">
        <v>514</v>
      </c>
      <c r="G84" s="30" t="s">
        <v>455</v>
      </c>
      <c r="H84" s="15">
        <v>1</v>
      </c>
      <c r="I84" s="6"/>
      <c r="J84" s="30"/>
      <c r="K84" s="15"/>
      <c r="L84" s="6"/>
      <c r="M84" s="30"/>
      <c r="N84" s="15"/>
      <c r="P84" s="30"/>
      <c r="S84" s="30"/>
      <c r="V84" s="30"/>
      <c r="Y84" s="30"/>
    </row>
    <row r="85" spans="1:25">
      <c r="A85" s="6">
        <v>10304</v>
      </c>
      <c r="B85" s="18" t="s">
        <v>572</v>
      </c>
      <c r="C85" s="23" t="s">
        <v>575</v>
      </c>
      <c r="D85" s="6">
        <v>10304</v>
      </c>
      <c r="E85" s="6" t="s">
        <v>211</v>
      </c>
      <c r="F85" s="6" t="s">
        <v>251</v>
      </c>
      <c r="G85" s="30" t="s">
        <v>435</v>
      </c>
      <c r="H85" s="15">
        <v>1</v>
      </c>
      <c r="I85" s="6"/>
      <c r="J85" s="30"/>
      <c r="K85" s="15"/>
      <c r="L85" s="6"/>
      <c r="M85" s="30"/>
      <c r="N85" s="15"/>
      <c r="P85" s="30"/>
      <c r="S85" s="30"/>
      <c r="V85" s="30"/>
      <c r="Y85" s="30"/>
    </row>
    <row r="86" spans="1:25">
      <c r="A86" s="6">
        <v>10305</v>
      </c>
      <c r="B86" s="18" t="s">
        <v>407</v>
      </c>
      <c r="C86" s="23" t="s">
        <v>416</v>
      </c>
      <c r="D86" s="6">
        <v>10305</v>
      </c>
      <c r="E86" s="6" t="s">
        <v>235</v>
      </c>
      <c r="F86" s="6" t="s">
        <v>581</v>
      </c>
      <c r="G86" s="30" t="s">
        <v>455</v>
      </c>
      <c r="H86" s="15">
        <v>1</v>
      </c>
      <c r="I86" s="6"/>
      <c r="J86" s="30"/>
      <c r="K86" s="15"/>
      <c r="L86" s="6"/>
      <c r="M86" s="30"/>
      <c r="N86" s="15"/>
      <c r="P86" s="30"/>
      <c r="S86" s="30"/>
      <c r="V86" s="30"/>
      <c r="Y86" s="30"/>
    </row>
    <row r="87" spans="1:25">
      <c r="A87" s="6">
        <v>10306</v>
      </c>
      <c r="B87" s="18" t="s">
        <v>406</v>
      </c>
      <c r="C87" s="23" t="s">
        <v>565</v>
      </c>
      <c r="D87" s="6">
        <v>10306</v>
      </c>
      <c r="E87" s="6" t="s">
        <v>235</v>
      </c>
      <c r="F87" s="6" t="s">
        <v>570</v>
      </c>
      <c r="G87" s="30" t="s">
        <v>571</v>
      </c>
      <c r="H87" s="15">
        <v>1</v>
      </c>
      <c r="I87" s="6"/>
      <c r="J87" s="30"/>
      <c r="K87" s="15"/>
      <c r="L87" s="6"/>
      <c r="M87" s="30"/>
      <c r="N87" s="15"/>
      <c r="P87" s="30"/>
      <c r="S87" s="30"/>
      <c r="V87" s="30"/>
      <c r="Y87" s="30"/>
    </row>
    <row r="88" spans="1:25">
      <c r="A88" s="6">
        <v>10307</v>
      </c>
      <c r="B88" s="18" t="s">
        <v>568</v>
      </c>
      <c r="C88" s="23" t="s">
        <v>519</v>
      </c>
      <c r="D88" s="6">
        <v>10307</v>
      </c>
      <c r="E88" s="6" t="s">
        <v>235</v>
      </c>
      <c r="F88" s="6" t="s">
        <v>521</v>
      </c>
      <c r="G88" s="30" t="s">
        <v>469</v>
      </c>
      <c r="H88" s="15">
        <v>1</v>
      </c>
      <c r="I88" s="6"/>
      <c r="J88" s="30"/>
      <c r="K88" s="15"/>
      <c r="L88" s="6"/>
      <c r="M88" s="30"/>
      <c r="N88" s="15"/>
      <c r="P88" s="30"/>
      <c r="S88" s="30"/>
      <c r="V88" s="30"/>
      <c r="Y88" s="30"/>
    </row>
    <row r="89" spans="1:25">
      <c r="A89" s="6">
        <v>10308</v>
      </c>
      <c r="B89" s="18" t="s">
        <v>408</v>
      </c>
      <c r="C89" s="23" t="s">
        <v>417</v>
      </c>
      <c r="D89" s="6">
        <v>10308</v>
      </c>
      <c r="E89" s="6" t="s">
        <v>235</v>
      </c>
      <c r="F89" s="6" t="s">
        <v>230</v>
      </c>
      <c r="G89" s="30" t="s">
        <v>434</v>
      </c>
      <c r="H89" s="15">
        <v>1</v>
      </c>
      <c r="I89" s="6"/>
      <c r="J89" s="30"/>
      <c r="K89" s="15"/>
      <c r="L89" s="6"/>
      <c r="M89" s="30"/>
      <c r="N89" s="15"/>
      <c r="P89" s="30"/>
      <c r="S89" s="30"/>
      <c r="V89" s="30"/>
      <c r="Y89" s="30"/>
    </row>
    <row r="90" spans="1:25">
      <c r="A90" s="6">
        <v>10309</v>
      </c>
      <c r="B90" s="18" t="s">
        <v>409</v>
      </c>
      <c r="C90" s="23" t="s">
        <v>356</v>
      </c>
      <c r="D90" s="6">
        <v>10309</v>
      </c>
      <c r="E90" s="6" t="s">
        <v>235</v>
      </c>
      <c r="F90" s="6" t="s">
        <v>584</v>
      </c>
      <c r="G90" s="30" t="s">
        <v>586</v>
      </c>
      <c r="H90" s="15">
        <v>1</v>
      </c>
      <c r="I90" s="6"/>
      <c r="J90" s="30"/>
      <c r="K90" s="15"/>
      <c r="L90" s="6"/>
      <c r="M90" s="30"/>
      <c r="N90" s="15"/>
      <c r="P90" s="30"/>
      <c r="S90" s="30"/>
      <c r="V90" s="30"/>
      <c r="Y90" s="30"/>
    </row>
    <row r="91" spans="1:25">
      <c r="A91" s="6">
        <v>10310</v>
      </c>
      <c r="B91" s="18" t="s">
        <v>569</v>
      </c>
      <c r="C91" s="23" t="s">
        <v>361</v>
      </c>
      <c r="D91" s="6">
        <v>10310</v>
      </c>
      <c r="E91" s="6" t="s">
        <v>235</v>
      </c>
      <c r="F91" s="6" t="s">
        <v>587</v>
      </c>
      <c r="G91" s="30" t="s">
        <v>590</v>
      </c>
      <c r="H91" s="15">
        <v>1</v>
      </c>
      <c r="I91" s="6"/>
      <c r="J91" s="30"/>
      <c r="K91" s="15"/>
      <c r="L91" s="6"/>
      <c r="M91" s="30"/>
      <c r="N91" s="15"/>
      <c r="P91" s="30"/>
      <c r="S91" s="30"/>
      <c r="V91" s="30"/>
      <c r="Y91" s="30"/>
    </row>
    <row r="96" spans="1:25">
      <c r="A96" s="11" t="s">
        <v>82</v>
      </c>
    </row>
  </sheetData>
  <phoneticPr fontId="1" type="noConversion"/>
  <dataValidations count="2">
    <dataValidation type="list" allowBlank="1" showInputMessage="1" showErrorMessage="1" sqref="E3:E1048576" xr:uid="{00000000-0002-0000-0200-000000000000}">
      <formula1>Target</formula1>
    </dataValidation>
    <dataValidation type="list" allowBlank="1" showInputMessage="1" showErrorMessage="1" sqref="R3:R1048576 U3:U1048576 O3:O1048576 X3:X1048576 L3:L1048576 I3:I1048576 F3:F1048576" xr:uid="{00000000-0002-0000-0200-000001000000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265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B34"/>
  <sheetViews>
    <sheetView topLeftCell="A4" workbookViewId="0">
      <selection activeCell="A30" sqref="A30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248</v>
      </c>
      <c r="B33" s="9" t="s">
        <v>249</v>
      </c>
    </row>
    <row r="34" spans="1:2">
      <c r="A34" t="s">
        <v>255</v>
      </c>
      <c r="B34" s="9" t="s">
        <v>256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L116"/>
  <sheetViews>
    <sheetView topLeftCell="A7" zoomScaleNormal="100" workbookViewId="0">
      <selection activeCell="H9" sqref="H9"/>
    </sheetView>
  </sheetViews>
  <sheetFormatPr defaultRowHeight="15.7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2">
      <c r="A1" s="10" t="s">
        <v>81</v>
      </c>
      <c r="B1" s="13" t="s">
        <v>83</v>
      </c>
    </row>
    <row r="2" spans="1:12">
      <c r="A2" s="10" t="s">
        <v>81</v>
      </c>
      <c r="B2" s="13" t="s">
        <v>272</v>
      </c>
    </row>
    <row r="6" spans="1:12">
      <c r="A6" s="2"/>
    </row>
    <row r="9" spans="1:12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367</v>
      </c>
      <c r="H9" s="3" t="s">
        <v>76</v>
      </c>
      <c r="I9" s="3" t="s">
        <v>286</v>
      </c>
      <c r="J9" s="3" t="s">
        <v>76</v>
      </c>
      <c r="K9" s="3" t="s">
        <v>622</v>
      </c>
      <c r="L9" s="3" t="s">
        <v>623</v>
      </c>
    </row>
    <row r="10" spans="1:12">
      <c r="A10" s="32" t="s">
        <v>529</v>
      </c>
      <c r="B10" s="9" t="s">
        <v>526</v>
      </c>
      <c r="C10" t="s">
        <v>113</v>
      </c>
      <c r="D10" t="s">
        <v>114</v>
      </c>
      <c r="E10" t="s">
        <v>197</v>
      </c>
      <c r="F10" t="s">
        <v>195</v>
      </c>
      <c r="G10" t="s">
        <v>620</v>
      </c>
      <c r="H10" t="s">
        <v>621</v>
      </c>
      <c r="I10" t="s">
        <v>288</v>
      </c>
      <c r="J10" t="s">
        <v>363</v>
      </c>
      <c r="K10" t="str">
        <f t="shared" ref="K10:K25" si="0">A10&amp;"= """ &amp; A10 &amp;""" // "&amp;SUBSTITUTE(B10, CHAR(10), ",")</f>
        <v>PDmg= "PDmg" // 造成物理傷害,數值是造成多少傷害</v>
      </c>
      <c r="L10" t="str">
        <f>A10&amp;","</f>
        <v>PDmg,</v>
      </c>
    </row>
    <row r="11" spans="1:12">
      <c r="A11" s="32" t="s">
        <v>530</v>
      </c>
      <c r="B11" s="9" t="s">
        <v>527</v>
      </c>
      <c r="C11" t="s">
        <v>115</v>
      </c>
      <c r="D11" t="s">
        <v>116</v>
      </c>
      <c r="E11" t="s">
        <v>198</v>
      </c>
      <c r="F11" t="s">
        <v>196</v>
      </c>
      <c r="G11" t="s">
        <v>372</v>
      </c>
      <c r="H11" t="s">
        <v>368</v>
      </c>
      <c r="I11" t="s">
        <v>290</v>
      </c>
      <c r="J11" t="s">
        <v>364</v>
      </c>
      <c r="K11" t="str">
        <f t="shared" si="0"/>
        <v>MDmg= "MDmg" // 造成魔法傷害,數值是造成多少傷害</v>
      </c>
      <c r="L11" t="str">
        <f t="shared" ref="L11:L75" si="1">A11&amp;","</f>
        <v>MDmg,</v>
      </c>
    </row>
    <row r="12" spans="1:12">
      <c r="A12" t="s">
        <v>617</v>
      </c>
      <c r="B12" s="9" t="s">
        <v>618</v>
      </c>
      <c r="E12" t="s">
        <v>296</v>
      </c>
      <c r="F12" t="s">
        <v>297</v>
      </c>
      <c r="G12" t="s">
        <v>286</v>
      </c>
      <c r="H12" t="s">
        <v>369</v>
      </c>
      <c r="I12" t="s">
        <v>292</v>
      </c>
      <c r="J12" t="s">
        <v>365</v>
      </c>
      <c r="K12" t="str">
        <f t="shared" ref="K12" si="2">A12&amp;"= """ &amp; A12 &amp;""" // "&amp;SUBSTITUTE(B12, CHAR(10), ",")</f>
        <v>TrueDmg= "TrueDmg" // 真實傷害(不受任何增/減傷影響的直接傷害), 數值是傷害值</v>
      </c>
      <c r="L12" t="str">
        <f t="shared" ref="L12" si="3">A12&amp;","</f>
        <v>TrueDmg,</v>
      </c>
    </row>
    <row r="13" spans="1:12">
      <c r="A13" s="32" t="s">
        <v>117</v>
      </c>
      <c r="B13" s="9" t="s">
        <v>420</v>
      </c>
      <c r="I13" t="s">
        <v>294</v>
      </c>
      <c r="J13" t="s">
        <v>366</v>
      </c>
      <c r="K13" t="str">
        <f t="shared" si="0"/>
        <v>RestoreHP= "RestoreHP" // 恢復生命,數值是恢復多少生命</v>
      </c>
      <c r="L13" t="str">
        <f t="shared" si="1"/>
        <v>RestoreHP,</v>
      </c>
    </row>
    <row r="14" spans="1:12">
      <c r="A14" s="32" t="s">
        <v>123</v>
      </c>
      <c r="B14" s="9" t="s">
        <v>421</v>
      </c>
      <c r="K14" t="str">
        <f t="shared" si="0"/>
        <v>RestoreVigor= "RestoreVigor" // 恢復體力,數值是恢復多少體力</v>
      </c>
      <c r="L14" t="str">
        <f t="shared" si="1"/>
        <v>RestoreVigor,</v>
      </c>
    </row>
    <row r="15" spans="1:12" ht="31.5">
      <c r="A15" t="s">
        <v>191</v>
      </c>
      <c r="B15" s="9" t="s">
        <v>192</v>
      </c>
      <c r="K15" t="str">
        <f t="shared" si="0"/>
        <v>Rush= "Rush" // 突擊,快速衝刺進行肉搏</v>
      </c>
      <c r="L15" t="str">
        <f t="shared" si="1"/>
        <v>Rush,</v>
      </c>
    </row>
    <row r="16" spans="1:12" ht="31.5">
      <c r="A16" t="s">
        <v>204</v>
      </c>
      <c r="B16" s="9" t="s">
        <v>205</v>
      </c>
      <c r="K16" t="str">
        <f t="shared" si="0"/>
        <v>Pull= "Pull" // 拉取,將敵人拉至前往自己</v>
      </c>
      <c r="L16" t="str">
        <f t="shared" si="1"/>
        <v>Pull,</v>
      </c>
    </row>
    <row r="17" spans="1:12" ht="31.5">
      <c r="A17" t="s">
        <v>453</v>
      </c>
      <c r="B17" s="9" t="s">
        <v>454</v>
      </c>
      <c r="K17" t="str">
        <f t="shared" si="0"/>
        <v>Purge= "Purge" // 淨化,移除所有負面效果</v>
      </c>
      <c r="L17" t="str">
        <f t="shared" si="1"/>
        <v>Purge,</v>
      </c>
    </row>
    <row r="18" spans="1:12" ht="31.5">
      <c r="A18" t="s">
        <v>515</v>
      </c>
      <c r="B18" s="9" t="s">
        <v>516</v>
      </c>
      <c r="K18" t="str">
        <f t="shared" si="0"/>
        <v>Shuffle= "Shuffle" // 洗牌,重洗目前的技能卡回牌庫並隨機抽回手牌</v>
      </c>
      <c r="L18" t="str">
        <f t="shared" si="1"/>
        <v>Shuffle,</v>
      </c>
    </row>
    <row r="19" spans="1:12" ht="31.5">
      <c r="A19" t="s">
        <v>517</v>
      </c>
      <c r="B19" s="9" t="s">
        <v>518</v>
      </c>
      <c r="K19" t="str">
        <f t="shared" si="0"/>
        <v>Fortune= "Fortune" // 財富,獲得遊戲幣, 數值是增加值</v>
      </c>
      <c r="L19" t="str">
        <f t="shared" si="1"/>
        <v>Fortune,</v>
      </c>
    </row>
    <row r="20" spans="1:12" ht="31.5">
      <c r="A20" t="s">
        <v>523</v>
      </c>
      <c r="B20" s="9" t="s">
        <v>524</v>
      </c>
      <c r="K20" t="str">
        <f t="shared" si="0"/>
        <v>PermanentHp= "PermanentHp" // 永久提升生命,數值填提昇值</v>
      </c>
      <c r="L20" t="str">
        <f t="shared" si="1"/>
        <v>PermanentHp,</v>
      </c>
    </row>
    <row r="21" spans="1:12" ht="47.25">
      <c r="A21" t="s">
        <v>482</v>
      </c>
      <c r="B21" s="9" t="s">
        <v>609</v>
      </c>
      <c r="K21" t="str">
        <f>A21&amp;"= """ &amp; A21 &amp;""" // "&amp;SUBSTITUTE(B21, CHAR(10), ",")</f>
        <v>MeleeDmgReflect= "MeleeDmgReflect" // [Buffer]肉搏傷害反射,受到肉搏攻擊會反彈受到的百分比傷害給攻擊者, 數值填0.5,3就是反彈50%傷害持續3秒</v>
      </c>
      <c r="L21" t="str">
        <f>A21&amp;","</f>
        <v>MeleeDmgReflect,</v>
      </c>
    </row>
    <row r="22" spans="1:12" ht="31.5">
      <c r="A22" t="s">
        <v>419</v>
      </c>
      <c r="B22" s="9" t="s">
        <v>610</v>
      </c>
      <c r="K22" t="str">
        <f>A22&amp;"= """ &amp; A22 &amp;""" // "&amp;SUBSTITUTE(B22, CHAR(10), ",")</f>
        <v>Block= "Block" // [Buffer]格檔,格檔對手的攻擊，數值填3就是格檔3次</v>
      </c>
      <c r="L22" t="str">
        <f>A22&amp;","</f>
        <v>Block,</v>
      </c>
    </row>
    <row r="23" spans="1:12" ht="31.5">
      <c r="A23" t="s">
        <v>522</v>
      </c>
      <c r="B23" s="9" t="s">
        <v>603</v>
      </c>
      <c r="K23" t="str">
        <f t="shared" si="0"/>
        <v>Intuition= "Intuition" // [Buffer]直覺,顯示對手手牌技能</v>
      </c>
      <c r="L23" t="str">
        <f t="shared" si="1"/>
        <v>Intuition,</v>
      </c>
    </row>
    <row r="24" spans="1:12" ht="31.5">
      <c r="A24" s="32" t="s">
        <v>255</v>
      </c>
      <c r="B24" s="9" t="s">
        <v>271</v>
      </c>
      <c r="K24" t="str">
        <f t="shared" si="0"/>
        <v>Enraged= "Enraged" // [Buffer]激怒,強制進入突擊狀態, 層數是持續時間</v>
      </c>
      <c r="L24" t="str">
        <f t="shared" si="1"/>
        <v>Enraged,</v>
      </c>
    </row>
    <row r="25" spans="1:12">
      <c r="A25" t="s">
        <v>489</v>
      </c>
      <c r="B25" s="9" t="s">
        <v>578</v>
      </c>
      <c r="K25" t="str">
        <f t="shared" si="0"/>
        <v>Dodge_RangeAttack= "Dodge_RangeAttack" // [Buffer]迴避對手遠程攻擊, 層數是次數</v>
      </c>
      <c r="L25" t="str">
        <f t="shared" si="1"/>
        <v>Dodge_RangeAttack,</v>
      </c>
    </row>
    <row r="26" spans="1:12" ht="31.5">
      <c r="A26" t="s">
        <v>422</v>
      </c>
      <c r="B26" s="9" t="s">
        <v>541</v>
      </c>
      <c r="K26" t="str">
        <f t="shared" ref="K26:K57" si="4">A26&amp;"= """ &amp; A26 &amp;""" // "&amp;SUBSTITUTE(B26, CHAR(10), ",")</f>
        <v>RegenHP= "RegenHP" // [Buffer]隨時間回復生命,數值填5,3代表每秒恢復5生命持續3秒(賦予時會立即觸發1次)</v>
      </c>
      <c r="L26" t="str">
        <f t="shared" si="1"/>
        <v>RegenHP,</v>
      </c>
    </row>
    <row r="27" spans="1:12" ht="31.5">
      <c r="A27" t="s">
        <v>423</v>
      </c>
      <c r="B27" s="9" t="s">
        <v>542</v>
      </c>
      <c r="K27" t="str">
        <f t="shared" si="4"/>
        <v>RegenVigor= "RegenVigor" // [Buffer]隨時間回復體力,數值填5,3代表每秒恢復5體力持續3秒(賦予時會立即觸發1次)</v>
      </c>
      <c r="L27" t="str">
        <f t="shared" si="1"/>
        <v>RegenVigor,</v>
      </c>
    </row>
    <row r="28" spans="1:12" ht="31.5">
      <c r="A28" s="32" t="s">
        <v>118</v>
      </c>
      <c r="B28" s="9" t="s">
        <v>433</v>
      </c>
      <c r="K28" t="str">
        <f t="shared" si="4"/>
        <v>Dizzy= "Dizzy" // [Buffer]暈眩,無法移動,無法施放立即技能, 層數是持續時間</v>
      </c>
      <c r="L28" t="str">
        <f t="shared" si="1"/>
        <v>Dizzy,</v>
      </c>
    </row>
    <row r="29" spans="1:12" ht="31.5">
      <c r="A29" s="32" t="s">
        <v>119</v>
      </c>
      <c r="B29" s="9" t="s">
        <v>543</v>
      </c>
      <c r="K29" t="str">
        <f t="shared" si="4"/>
        <v>Poison= "Poison" // [Buffer]中毒,持續受到層數傷害直到戰鬥結束(賦予時會立即觸發1次)</v>
      </c>
      <c r="L29" t="str">
        <f t="shared" si="1"/>
        <v>Poison,</v>
      </c>
    </row>
    <row r="30" spans="1:12" ht="31.5">
      <c r="A30" s="32" t="s">
        <v>120</v>
      </c>
      <c r="B30" s="9" t="s">
        <v>266</v>
      </c>
      <c r="K30" t="str">
        <f t="shared" si="4"/>
        <v>Bleeding= "Bleeding" // [Buffer]流血,受到攻擊額外受到層數傷害直到戰鬥結束</v>
      </c>
      <c r="L30" t="str">
        <f t="shared" si="1"/>
        <v>Bleeding,</v>
      </c>
    </row>
    <row r="31" spans="1:12" ht="47.25">
      <c r="A31" t="s">
        <v>127</v>
      </c>
      <c r="B31" s="9" t="s">
        <v>605</v>
      </c>
      <c r="K31" t="str">
        <f t="shared" si="4"/>
        <v>Burning= "Burning" // [Buffer]著火,每數秒受到層數傷害直到層數歸0, 每次受到傷害後層數減半(賦予時會立即觸發1次)</v>
      </c>
      <c r="L31" t="str">
        <f t="shared" si="1"/>
        <v>Burning,</v>
      </c>
    </row>
    <row r="32" spans="1:12" ht="31.5">
      <c r="A32" t="s">
        <v>128</v>
      </c>
      <c r="B32" s="9" t="s">
        <v>267</v>
      </c>
      <c r="K32" t="str">
        <f t="shared" si="4"/>
        <v>Fearing= "Fearing" // [Buffer]恐懼,往後逃跑, 層數是持續時間</v>
      </c>
      <c r="L32" t="str">
        <f t="shared" si="1"/>
        <v>Fearing,</v>
      </c>
    </row>
    <row r="33" spans="1:12" ht="31.5">
      <c r="A33" t="s">
        <v>130</v>
      </c>
      <c r="B33" s="9" t="s">
        <v>544</v>
      </c>
      <c r="K33" t="str">
        <f t="shared" si="4"/>
        <v>Vulnerable= "Vulnerable" // [Buffer]無力,傷害減少30%, 層數是持續時間</v>
      </c>
      <c r="L33" t="str">
        <f t="shared" si="1"/>
        <v>Vulnerable,</v>
      </c>
    </row>
    <row r="34" spans="1:12" ht="31.5">
      <c r="A34" t="s">
        <v>121</v>
      </c>
      <c r="B34" s="9" t="s">
        <v>268</v>
      </c>
      <c r="K34" t="str">
        <f t="shared" si="4"/>
        <v>Weak= "Weak" // [Buffer]虛弱,防禦減少30%, 層數是持續時間</v>
      </c>
      <c r="L34" t="str">
        <f t="shared" si="1"/>
        <v>Weak,</v>
      </c>
    </row>
    <row r="35" spans="1:12" ht="31.5">
      <c r="A35" t="s">
        <v>129</v>
      </c>
      <c r="B35" s="9" t="s">
        <v>269</v>
      </c>
      <c r="K35" t="str">
        <f t="shared" si="4"/>
        <v>Fatigue= "Fatigue" // [Buffer]疲勞,體力回復減少50%, 層數是持續時間</v>
      </c>
      <c r="L35" t="str">
        <f t="shared" si="1"/>
        <v>Fatigue,</v>
      </c>
    </row>
    <row r="36" spans="1:12" ht="31.5">
      <c r="A36" t="s">
        <v>122</v>
      </c>
      <c r="B36" s="9" t="s">
        <v>270</v>
      </c>
      <c r="K36" t="str">
        <f t="shared" si="4"/>
        <v>Protection= "Protection" // [Buffer]加護,受到的傷害減少30%, 層數是持續時間</v>
      </c>
      <c r="L36" t="str">
        <f t="shared" si="1"/>
        <v>Protection,</v>
      </c>
    </row>
    <row r="37" spans="1:12" ht="31.5">
      <c r="A37" t="s">
        <v>457</v>
      </c>
      <c r="B37" s="9" t="s">
        <v>460</v>
      </c>
      <c r="K37" t="str">
        <f t="shared" si="4"/>
        <v>MeleeSkillReflect= "MeleeSkillReflect" // [Buffer]肉搏技能反擊,反彈下一次受到的肉搏技能, 數值是次數</v>
      </c>
      <c r="L37" t="str">
        <f t="shared" si="1"/>
        <v>MeleeSkillReflect,</v>
      </c>
    </row>
    <row r="38" spans="1:12" ht="31.5">
      <c r="A38" t="s">
        <v>459</v>
      </c>
      <c r="B38" s="9" t="s">
        <v>461</v>
      </c>
      <c r="K38" t="str">
        <f t="shared" si="4"/>
        <v>RangeSkillReflect= "RangeSkillReflect" // [Buffer]遠程技能反擊,反彈下一次受到的遠程技能, 數值是次數</v>
      </c>
      <c r="L38" t="str">
        <f t="shared" si="1"/>
        <v>RangeSkillReflect,</v>
      </c>
    </row>
    <row r="39" spans="1:12" ht="31.5">
      <c r="A39" t="s">
        <v>446</v>
      </c>
      <c r="B39" s="9" t="s">
        <v>447</v>
      </c>
      <c r="K39" t="str">
        <f t="shared" si="4"/>
        <v>PDefUp= "PDefUp" // [Buffer]物防提升,數值填5,3代表提升5持續3秒</v>
      </c>
      <c r="L39" t="str">
        <f t="shared" si="1"/>
        <v>PDefUp,</v>
      </c>
    </row>
    <row r="40" spans="1:12" ht="31.5">
      <c r="A40" t="s">
        <v>443</v>
      </c>
      <c r="B40" s="9" t="s">
        <v>448</v>
      </c>
      <c r="K40" t="str">
        <f t="shared" si="4"/>
        <v>MDefUp= "MDefUp" // [Buffer]魔防提升,數值填5,3代表提升5持續3秒</v>
      </c>
      <c r="L40" t="str">
        <f t="shared" si="1"/>
        <v>MDefUp,</v>
      </c>
    </row>
    <row r="41" spans="1:12" ht="31.5">
      <c r="A41" t="s">
        <v>492</v>
      </c>
      <c r="B41" s="9" t="s">
        <v>493</v>
      </c>
      <c r="K41" t="str">
        <f t="shared" si="4"/>
        <v>StrUp= "StrUp" // [Buffer]力量提升,數值填5,3代表提升5持續3秒</v>
      </c>
      <c r="L41" t="str">
        <f t="shared" si="1"/>
        <v>StrUp,</v>
      </c>
    </row>
    <row r="42" spans="1:12" ht="31.5">
      <c r="A42" t="s">
        <v>547</v>
      </c>
      <c r="B42" s="9" t="s">
        <v>548</v>
      </c>
      <c r="K42" t="str">
        <f t="shared" si="4"/>
        <v>KnockbackUp= "KnockbackUp" // [Buffer]擊退提升,數值填5,3代表提升5持續3秒</v>
      </c>
      <c r="L42" t="str">
        <f t="shared" si="1"/>
        <v>KnockbackUp,</v>
      </c>
    </row>
    <row r="43" spans="1:12" ht="31.5">
      <c r="A43" t="s">
        <v>464</v>
      </c>
      <c r="B43" s="9" t="s">
        <v>465</v>
      </c>
      <c r="K43" t="str">
        <f t="shared" si="4"/>
        <v>Barrier= "Barrier" // [Buffer]不動,無法被擊退, 層數是持續時間</v>
      </c>
      <c r="L43" t="str">
        <f t="shared" si="1"/>
        <v>Barrier,</v>
      </c>
    </row>
    <row r="44" spans="1:12" ht="31.5">
      <c r="A44" t="s">
        <v>467</v>
      </c>
      <c r="B44" s="9" t="s">
        <v>468</v>
      </c>
      <c r="K44" t="str">
        <f t="shared" si="4"/>
        <v>Poisoning= "Poisoning" // [Buffer]淬毒,攻擊會造成中毒, 層數是持續時間</v>
      </c>
      <c r="L44" t="str">
        <f t="shared" si="1"/>
        <v>Poisoning,</v>
      </c>
    </row>
    <row r="45" spans="1:12" ht="31.5">
      <c r="A45" t="s">
        <v>473</v>
      </c>
      <c r="B45" s="9" t="s">
        <v>471</v>
      </c>
      <c r="K45" t="str">
        <f t="shared" si="4"/>
        <v>ComboAttack= "ComboAttack" // [Buffer]連擊,額外技能攻擊次數, 層數是額外次數</v>
      </c>
      <c r="L45" t="str">
        <f t="shared" si="1"/>
        <v>ComboAttack,</v>
      </c>
    </row>
    <row r="46" spans="1:12" ht="47.25">
      <c r="A46" t="s">
        <v>474</v>
      </c>
      <c r="B46" s="9" t="s">
        <v>531</v>
      </c>
      <c r="K46" t="str">
        <f t="shared" si="4"/>
        <v>Vampire= "Vampire" // [Buffer]攻擊吸血,回復下次攻擊技能傷害的百分比生命, 數值填0.5,2代表回復造成傷害的50%生命, 下2次攻擊</v>
      </c>
      <c r="L46" t="str">
        <f t="shared" si="1"/>
        <v>Vampire,</v>
      </c>
    </row>
    <row r="47" spans="1:12" ht="31.5">
      <c r="A47" t="s">
        <v>478</v>
      </c>
      <c r="B47" s="9" t="s">
        <v>545</v>
      </c>
      <c r="K47" t="str">
        <f t="shared" si="4"/>
        <v>CriticalUp= "CriticalUp" // [Buffer]爆擊提升,數值填0.5,3代表提升50%持續3秒</v>
      </c>
      <c r="L47" t="str">
        <f t="shared" si="1"/>
        <v>CriticalUp,</v>
      </c>
    </row>
    <row r="48" spans="1:12" ht="31.5">
      <c r="A48" t="s">
        <v>486</v>
      </c>
      <c r="B48" s="9" t="s">
        <v>487</v>
      </c>
      <c r="K48" t="str">
        <f t="shared" si="4"/>
        <v>InitUp= "InitUp" // [Buffer]先攻提升,數值填5,3代表提升5持續3秒</v>
      </c>
      <c r="L48" t="str">
        <f t="shared" si="1"/>
        <v>InitUp,</v>
      </c>
    </row>
    <row r="49" spans="1:12" ht="31.5">
      <c r="A49" t="s">
        <v>497</v>
      </c>
      <c r="B49" s="9" t="s">
        <v>564</v>
      </c>
      <c r="K49" t="str">
        <f t="shared" si="4"/>
        <v>Indomitable= "Indomitable" // [Buffer]不屈,免疫行動控制類的負面效果, 層數是持續時間</v>
      </c>
      <c r="L49" t="str">
        <f t="shared" si="1"/>
        <v>Indomitable,</v>
      </c>
    </row>
    <row r="50" spans="1:12" ht="31.5">
      <c r="A50" t="s">
        <v>499</v>
      </c>
      <c r="B50" s="9" t="s">
        <v>500</v>
      </c>
      <c r="K50" t="str">
        <f t="shared" si="4"/>
        <v>Berserk= "Berserk" // [Buffer]狂暴,進入無法控制的狂暴狀態, 力量上升50%, 數值是持續時間</v>
      </c>
      <c r="L50" t="str">
        <f t="shared" si="1"/>
        <v>Berserk,</v>
      </c>
    </row>
    <row r="51" spans="1:12" ht="31.5">
      <c r="A51" t="s">
        <v>502</v>
      </c>
      <c r="B51" s="9" t="s">
        <v>504</v>
      </c>
      <c r="K51" t="str">
        <f t="shared" si="4"/>
        <v>StrUpByHp= "StrUpByHp" // [Buffer]血怒,根據失去的生命百分比提升力量, 數值填最大提升值</v>
      </c>
      <c r="L51" t="str">
        <f t="shared" si="1"/>
        <v>StrUpByHp,</v>
      </c>
    </row>
    <row r="52" spans="1:12" ht="31.5">
      <c r="A52" t="s">
        <v>511</v>
      </c>
      <c r="B52" s="9" t="s">
        <v>512</v>
      </c>
      <c r="K52" t="str">
        <f t="shared" si="4"/>
        <v>Chaos= "Chaos" // [Buffer]混沌,技能牌不會按照順序發牌, 數值填持續秒數</v>
      </c>
      <c r="L52" t="str">
        <f t="shared" si="1"/>
        <v>Chaos,</v>
      </c>
    </row>
    <row r="53" spans="1:12" ht="47.25">
      <c r="A53" t="s">
        <v>513</v>
      </c>
      <c r="B53" s="9" t="s">
        <v>577</v>
      </c>
      <c r="K53" t="str">
        <f t="shared" si="4"/>
        <v>SkillVigorUp= "SkillVigorUp" // [Buffer]技能耗體增加,隨機一個技能本場戰鬥技能消耗體力增加, 填2,-1代表隨機2個技能體力需求-1</v>
      </c>
      <c r="L53" t="str">
        <f t="shared" si="1"/>
        <v>SkillVigorUp,</v>
      </c>
    </row>
    <row r="54" spans="1:12" ht="31.5">
      <c r="A54" t="s">
        <v>601</v>
      </c>
      <c r="B54" s="9" t="s">
        <v>599</v>
      </c>
      <c r="K54" t="str">
        <f>A54&amp;"= """ &amp; A54 &amp;""" // "&amp;SUBSTITUTE(B54, CHAR(10), ",")</f>
        <v>StrBurst= "StrBurst" // [Buffer]力量爆發,填3就是下次的攻擊技能力量提升額外3倍</v>
      </c>
      <c r="L54" t="str">
        <f t="shared" si="1"/>
        <v>StrBurst,</v>
      </c>
    </row>
    <row r="55" spans="1:12" ht="31.5">
      <c r="A55" t="s">
        <v>580</v>
      </c>
      <c r="B55" s="9" t="s">
        <v>608</v>
      </c>
      <c r="K55" t="str">
        <f t="shared" si="4"/>
        <v>TriggerEffect_BeAttack_StrUp= "TriggerEffect_BeAttack_StrUp" // [Buffer]觸發效果-受到攻擊時, 力量上升,數值填力量上升值</v>
      </c>
      <c r="L55" t="str">
        <f t="shared" si="1"/>
        <v>TriggerEffect_BeAttack_StrUp,</v>
      </c>
    </row>
    <row r="56" spans="1:12" ht="31.5">
      <c r="A56" t="s">
        <v>582</v>
      </c>
      <c r="B56" s="9" t="s">
        <v>583</v>
      </c>
      <c r="K56" t="str">
        <f t="shared" si="4"/>
        <v>TriggerEffect_Time_Fortune= "TriggerEffect_Time_Fortune" // [Buffer]觸發效果-每秒, 獲得遊戲幣,數值填獲得量</v>
      </c>
      <c r="L56" t="str">
        <f t="shared" si="1"/>
        <v>TriggerEffect_Time_Fortune,</v>
      </c>
    </row>
    <row r="57" spans="1:12" ht="31.5">
      <c r="A57" t="s">
        <v>584</v>
      </c>
      <c r="B57" s="9" t="s">
        <v>585</v>
      </c>
      <c r="K57" t="str">
        <f t="shared" si="4"/>
        <v>TriggerEffect_WaitTime_RestoreVigor= "TriggerEffect_WaitTime_RestoreVigor" // [Buffer]觸發效果-X秒後, 恢復體力,數值填5,10就是5秒後獲得10體力</v>
      </c>
      <c r="L57" t="str">
        <f t="shared" si="1"/>
        <v>TriggerEffect_WaitTime_RestoreVigor,</v>
      </c>
    </row>
    <row r="58" spans="1:12" ht="78.75">
      <c r="A58" t="s">
        <v>588</v>
      </c>
      <c r="B58" s="9" t="s">
        <v>589</v>
      </c>
      <c r="K58" t="str">
        <f t="shared" ref="K58:K116" si="5">A58&amp;"= """ &amp; A58 &amp;""" // "&amp;SUBSTITUTE(B58, CHAR(10), ",")</f>
        <v>TriggerEffect_BattleResult_PermanentHp= "TriggerEffect_BattleResult_PermanentHp" // [Buffer]觸發效果-戰鬥結果觸發, 生命永久上升,數值填0,20代表戰鬥勝利時生命永久上升20,0為勝利,1為平手,2為戰敗</v>
      </c>
      <c r="L58" t="str">
        <f t="shared" si="1"/>
        <v>TriggerEffect_BattleResult_PermanentHp,</v>
      </c>
    </row>
    <row r="59" spans="1:12" ht="47.25">
      <c r="A59" t="s">
        <v>596</v>
      </c>
      <c r="B59" s="9" t="s">
        <v>606</v>
      </c>
      <c r="K59" t="str">
        <f t="shared" si="5"/>
        <v>TriggerEffect_SkillVigorBelow_ComboAttack= "TriggerEffect_SkillVigorBelow_ComboAttack" // [Buffer]觸發條件-下一技能耗體在X以下(包含X)觸發, 獲得ComboAttack數, 移除此Buffer,數值填3,2代表技能消耗在3以下獲得2層ComboAttack</v>
      </c>
      <c r="L59" t="str">
        <f t="shared" si="1"/>
        <v>TriggerEffect_SkillVigorBelow_ComboAttack,</v>
      </c>
    </row>
    <row r="60" spans="1:12">
      <c r="A60" t="s">
        <v>598</v>
      </c>
      <c r="B60" s="9" t="s">
        <v>607</v>
      </c>
      <c r="K60" t="str">
        <f t="shared" si="5"/>
        <v>TriggerEffect_FirstAttack_Dodge= "TriggerEffect_FirstAttack_Dodge" // [Buffer]觸發條件-比對手先攻, 迴避對手攻擊, 移除此Buffer</v>
      </c>
      <c r="L60" t="str">
        <f t="shared" si="1"/>
        <v>TriggerEffect_FirstAttack_Dodge,</v>
      </c>
    </row>
    <row r="61" spans="1:12">
      <c r="K61" t="str">
        <f t="shared" si="5"/>
        <v xml:space="preserve">= "" // </v>
      </c>
      <c r="L61" t="str">
        <f t="shared" si="1"/>
        <v>,</v>
      </c>
    </row>
    <row r="62" spans="1:12">
      <c r="K62" t="str">
        <f t="shared" si="5"/>
        <v xml:space="preserve">= "" // </v>
      </c>
      <c r="L62" t="str">
        <f t="shared" si="1"/>
        <v>,</v>
      </c>
    </row>
    <row r="63" spans="1:12">
      <c r="K63" t="str">
        <f t="shared" si="5"/>
        <v xml:space="preserve">= "" // </v>
      </c>
      <c r="L63" t="str">
        <f t="shared" si="1"/>
        <v>,</v>
      </c>
    </row>
    <row r="64" spans="1:12">
      <c r="K64" t="str">
        <f t="shared" si="5"/>
        <v xml:space="preserve">= "" // </v>
      </c>
      <c r="L64" t="str">
        <f t="shared" si="1"/>
        <v>,</v>
      </c>
    </row>
    <row r="65" spans="11:12">
      <c r="K65" t="str">
        <f t="shared" si="5"/>
        <v xml:space="preserve">= "" // </v>
      </c>
      <c r="L65" t="str">
        <f t="shared" si="1"/>
        <v>,</v>
      </c>
    </row>
    <row r="66" spans="11:12">
      <c r="K66" t="str">
        <f t="shared" si="5"/>
        <v xml:space="preserve">= "" // </v>
      </c>
      <c r="L66" t="str">
        <f t="shared" si="1"/>
        <v>,</v>
      </c>
    </row>
    <row r="67" spans="11:12">
      <c r="K67" t="str">
        <f t="shared" si="5"/>
        <v xml:space="preserve">= "" // </v>
      </c>
      <c r="L67" t="str">
        <f t="shared" si="1"/>
        <v>,</v>
      </c>
    </row>
    <row r="68" spans="11:12">
      <c r="K68" t="str">
        <f t="shared" si="5"/>
        <v xml:space="preserve">= "" // </v>
      </c>
      <c r="L68" t="str">
        <f t="shared" si="1"/>
        <v>,</v>
      </c>
    </row>
    <row r="69" spans="11:12">
      <c r="K69" t="str">
        <f t="shared" si="5"/>
        <v xml:space="preserve">= "" // </v>
      </c>
      <c r="L69" t="str">
        <f t="shared" si="1"/>
        <v>,</v>
      </c>
    </row>
    <row r="70" spans="11:12">
      <c r="K70" t="str">
        <f t="shared" si="5"/>
        <v xml:space="preserve">= "" // </v>
      </c>
      <c r="L70" t="str">
        <f t="shared" si="1"/>
        <v>,</v>
      </c>
    </row>
    <row r="71" spans="11:12">
      <c r="K71" t="str">
        <f t="shared" si="5"/>
        <v xml:space="preserve">= "" // </v>
      </c>
      <c r="L71" t="str">
        <f t="shared" si="1"/>
        <v>,</v>
      </c>
    </row>
    <row r="72" spans="11:12">
      <c r="K72" t="str">
        <f t="shared" si="5"/>
        <v xml:space="preserve">= "" // </v>
      </c>
      <c r="L72" t="str">
        <f t="shared" si="1"/>
        <v>,</v>
      </c>
    </row>
    <row r="73" spans="11:12">
      <c r="K73" t="str">
        <f t="shared" si="5"/>
        <v xml:space="preserve">= "" // </v>
      </c>
      <c r="L73" t="str">
        <f t="shared" si="1"/>
        <v>,</v>
      </c>
    </row>
    <row r="74" spans="11:12">
      <c r="K74" t="str">
        <f t="shared" si="5"/>
        <v xml:space="preserve">= "" // </v>
      </c>
      <c r="L74" t="str">
        <f t="shared" si="1"/>
        <v>,</v>
      </c>
    </row>
    <row r="75" spans="11:12">
      <c r="K75" t="str">
        <f t="shared" si="5"/>
        <v xml:space="preserve">= "" // </v>
      </c>
      <c r="L75" t="str">
        <f t="shared" si="1"/>
        <v>,</v>
      </c>
    </row>
    <row r="76" spans="11:12">
      <c r="K76" t="str">
        <f t="shared" si="5"/>
        <v xml:space="preserve">= "" // </v>
      </c>
      <c r="L76" t="str">
        <f t="shared" ref="L76:L116" si="6">A76&amp;","</f>
        <v>,</v>
      </c>
    </row>
    <row r="77" spans="11:12">
      <c r="K77" t="str">
        <f t="shared" si="5"/>
        <v xml:space="preserve">= "" // </v>
      </c>
      <c r="L77" t="str">
        <f t="shared" si="6"/>
        <v>,</v>
      </c>
    </row>
    <row r="78" spans="11:12">
      <c r="K78" t="str">
        <f t="shared" si="5"/>
        <v xml:space="preserve">= "" // </v>
      </c>
      <c r="L78" t="str">
        <f t="shared" si="6"/>
        <v>,</v>
      </c>
    </row>
    <row r="79" spans="11:12">
      <c r="K79" t="str">
        <f t="shared" si="5"/>
        <v xml:space="preserve">= "" // </v>
      </c>
      <c r="L79" t="str">
        <f t="shared" si="6"/>
        <v>,</v>
      </c>
    </row>
    <row r="80" spans="11:12">
      <c r="K80" t="str">
        <f t="shared" si="5"/>
        <v xml:space="preserve">= "" // </v>
      </c>
      <c r="L80" t="str">
        <f t="shared" si="6"/>
        <v>,</v>
      </c>
    </row>
    <row r="81" spans="11:12">
      <c r="K81" t="str">
        <f t="shared" si="5"/>
        <v xml:space="preserve">= "" // </v>
      </c>
      <c r="L81" t="str">
        <f t="shared" si="6"/>
        <v>,</v>
      </c>
    </row>
    <row r="82" spans="11:12">
      <c r="K82" t="str">
        <f t="shared" si="5"/>
        <v xml:space="preserve">= "" // </v>
      </c>
      <c r="L82" t="str">
        <f t="shared" si="6"/>
        <v>,</v>
      </c>
    </row>
    <row r="83" spans="11:12">
      <c r="K83" t="str">
        <f t="shared" si="5"/>
        <v xml:space="preserve">= "" // </v>
      </c>
      <c r="L83" t="str">
        <f t="shared" si="6"/>
        <v>,</v>
      </c>
    </row>
    <row r="84" spans="11:12">
      <c r="K84" t="str">
        <f t="shared" si="5"/>
        <v xml:space="preserve">= "" // </v>
      </c>
      <c r="L84" t="str">
        <f t="shared" si="6"/>
        <v>,</v>
      </c>
    </row>
    <row r="85" spans="11:12">
      <c r="K85" t="str">
        <f t="shared" si="5"/>
        <v xml:space="preserve">= "" // </v>
      </c>
      <c r="L85" t="str">
        <f t="shared" si="6"/>
        <v>,</v>
      </c>
    </row>
    <row r="86" spans="11:12">
      <c r="K86" t="str">
        <f t="shared" si="5"/>
        <v xml:space="preserve">= "" // </v>
      </c>
      <c r="L86" t="str">
        <f t="shared" si="6"/>
        <v>,</v>
      </c>
    </row>
    <row r="87" spans="11:12">
      <c r="K87" t="str">
        <f t="shared" si="5"/>
        <v xml:space="preserve">= "" // </v>
      </c>
      <c r="L87" t="str">
        <f t="shared" si="6"/>
        <v>,</v>
      </c>
    </row>
    <row r="88" spans="11:12">
      <c r="K88" t="str">
        <f t="shared" si="5"/>
        <v xml:space="preserve">= "" // </v>
      </c>
      <c r="L88" t="str">
        <f t="shared" si="6"/>
        <v>,</v>
      </c>
    </row>
    <row r="89" spans="11:12">
      <c r="K89" t="str">
        <f t="shared" si="5"/>
        <v xml:space="preserve">= "" // </v>
      </c>
      <c r="L89" t="str">
        <f t="shared" si="6"/>
        <v>,</v>
      </c>
    </row>
    <row r="90" spans="11:12">
      <c r="K90" t="str">
        <f t="shared" si="5"/>
        <v xml:space="preserve">= "" // </v>
      </c>
      <c r="L90" t="str">
        <f t="shared" si="6"/>
        <v>,</v>
      </c>
    </row>
    <row r="91" spans="11:12">
      <c r="K91" t="str">
        <f t="shared" si="5"/>
        <v xml:space="preserve">= "" // </v>
      </c>
      <c r="L91" t="str">
        <f t="shared" si="6"/>
        <v>,</v>
      </c>
    </row>
    <row r="92" spans="11:12">
      <c r="K92" t="str">
        <f t="shared" si="5"/>
        <v xml:space="preserve">= "" // </v>
      </c>
      <c r="L92" t="str">
        <f t="shared" si="6"/>
        <v>,</v>
      </c>
    </row>
    <row r="93" spans="11:12">
      <c r="K93" t="str">
        <f t="shared" si="5"/>
        <v xml:space="preserve">= "" // </v>
      </c>
      <c r="L93" t="str">
        <f t="shared" si="6"/>
        <v>,</v>
      </c>
    </row>
    <row r="94" spans="11:12">
      <c r="K94" t="str">
        <f t="shared" si="5"/>
        <v xml:space="preserve">= "" // </v>
      </c>
      <c r="L94" t="str">
        <f t="shared" si="6"/>
        <v>,</v>
      </c>
    </row>
    <row r="95" spans="11:12">
      <c r="K95" t="str">
        <f t="shared" si="5"/>
        <v xml:space="preserve">= "" // </v>
      </c>
      <c r="L95" t="str">
        <f t="shared" si="6"/>
        <v>,</v>
      </c>
    </row>
    <row r="96" spans="11:12">
      <c r="K96" t="str">
        <f t="shared" si="5"/>
        <v xml:space="preserve">= "" // </v>
      </c>
      <c r="L96" t="str">
        <f t="shared" si="6"/>
        <v>,</v>
      </c>
    </row>
    <row r="97" spans="11:12">
      <c r="K97" t="str">
        <f t="shared" si="5"/>
        <v xml:space="preserve">= "" // </v>
      </c>
      <c r="L97" t="str">
        <f t="shared" si="6"/>
        <v>,</v>
      </c>
    </row>
    <row r="98" spans="11:12">
      <c r="K98" t="str">
        <f t="shared" si="5"/>
        <v xml:space="preserve">= "" // </v>
      </c>
      <c r="L98" t="str">
        <f t="shared" si="6"/>
        <v>,</v>
      </c>
    </row>
    <row r="99" spans="11:12">
      <c r="K99" t="str">
        <f t="shared" si="5"/>
        <v xml:space="preserve">= "" // </v>
      </c>
      <c r="L99" t="str">
        <f t="shared" si="6"/>
        <v>,</v>
      </c>
    </row>
    <row r="100" spans="11:12">
      <c r="K100" t="str">
        <f t="shared" si="5"/>
        <v xml:space="preserve">= "" // </v>
      </c>
      <c r="L100" t="str">
        <f t="shared" si="6"/>
        <v>,</v>
      </c>
    </row>
    <row r="101" spans="11:12">
      <c r="K101" t="str">
        <f t="shared" si="5"/>
        <v xml:space="preserve">= "" // </v>
      </c>
      <c r="L101" t="str">
        <f t="shared" si="6"/>
        <v>,</v>
      </c>
    </row>
    <row r="102" spans="11:12">
      <c r="K102" t="str">
        <f t="shared" si="5"/>
        <v xml:space="preserve">= "" // </v>
      </c>
      <c r="L102" t="str">
        <f t="shared" si="6"/>
        <v>,</v>
      </c>
    </row>
    <row r="103" spans="11:12">
      <c r="K103" t="str">
        <f t="shared" si="5"/>
        <v xml:space="preserve">= "" // </v>
      </c>
      <c r="L103" t="str">
        <f t="shared" si="6"/>
        <v>,</v>
      </c>
    </row>
    <row r="104" spans="11:12">
      <c r="K104" t="str">
        <f t="shared" si="5"/>
        <v xml:space="preserve">= "" // </v>
      </c>
      <c r="L104" t="str">
        <f t="shared" si="6"/>
        <v>,</v>
      </c>
    </row>
    <row r="105" spans="11:12">
      <c r="K105" t="str">
        <f t="shared" si="5"/>
        <v xml:space="preserve">= "" // </v>
      </c>
      <c r="L105" t="str">
        <f t="shared" si="6"/>
        <v>,</v>
      </c>
    </row>
    <row r="106" spans="11:12">
      <c r="K106" t="str">
        <f t="shared" si="5"/>
        <v xml:space="preserve">= "" // </v>
      </c>
      <c r="L106" t="str">
        <f t="shared" si="6"/>
        <v>,</v>
      </c>
    </row>
    <row r="107" spans="11:12">
      <c r="K107" t="str">
        <f t="shared" si="5"/>
        <v xml:space="preserve">= "" // </v>
      </c>
      <c r="L107" t="str">
        <f t="shared" si="6"/>
        <v>,</v>
      </c>
    </row>
    <row r="108" spans="11:12">
      <c r="K108" t="str">
        <f t="shared" si="5"/>
        <v xml:space="preserve">= "" // </v>
      </c>
      <c r="L108" t="str">
        <f t="shared" si="6"/>
        <v>,</v>
      </c>
    </row>
    <row r="109" spans="11:12">
      <c r="K109" t="str">
        <f t="shared" si="5"/>
        <v xml:space="preserve">= "" // </v>
      </c>
      <c r="L109" t="str">
        <f t="shared" si="6"/>
        <v>,</v>
      </c>
    </row>
    <row r="110" spans="11:12">
      <c r="K110" t="str">
        <f t="shared" si="5"/>
        <v xml:space="preserve">= "" // </v>
      </c>
      <c r="L110" t="str">
        <f t="shared" si="6"/>
        <v>,</v>
      </c>
    </row>
    <row r="111" spans="11:12">
      <c r="K111" t="str">
        <f t="shared" si="5"/>
        <v xml:space="preserve">= "" // </v>
      </c>
      <c r="L111" t="str">
        <f t="shared" si="6"/>
        <v>,</v>
      </c>
    </row>
    <row r="112" spans="11:12">
      <c r="K112" t="str">
        <f t="shared" si="5"/>
        <v xml:space="preserve">= "" // </v>
      </c>
      <c r="L112" t="str">
        <f t="shared" si="6"/>
        <v>,</v>
      </c>
    </row>
    <row r="113" spans="11:12">
      <c r="K113" t="str">
        <f t="shared" si="5"/>
        <v xml:space="preserve">= "" // </v>
      </c>
      <c r="L113" t="str">
        <f t="shared" si="6"/>
        <v>,</v>
      </c>
    </row>
    <row r="114" spans="11:12">
      <c r="K114" t="str">
        <f t="shared" si="5"/>
        <v xml:space="preserve">= "" // </v>
      </c>
      <c r="L114" t="str">
        <f t="shared" si="6"/>
        <v>,</v>
      </c>
    </row>
    <row r="115" spans="11:12">
      <c r="K115" t="str">
        <f t="shared" si="5"/>
        <v xml:space="preserve">= "" // </v>
      </c>
      <c r="L115" t="str">
        <f t="shared" si="6"/>
        <v>,</v>
      </c>
    </row>
    <row r="116" spans="11:12">
      <c r="K116" t="str">
        <f t="shared" si="5"/>
        <v xml:space="preserve">= "" // </v>
      </c>
      <c r="L116" t="str">
        <f t="shared" si="6"/>
        <v>,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2024-11-28T22:32:02Z</dcterms:modified>
</cp:coreProperties>
</file>