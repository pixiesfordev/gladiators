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025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E:\Projects\gladiators\Design\"/>
    </mc:Choice>
  </mc:AlternateContent>
  <xr:revisionPtr revIDLastSave="0" documentId="13_ncr:1_{821B3CD9-E7E8-4AEE-9478-EFD9341A0E45}" xr6:coauthVersionLast="47" xr6:coauthVersionMax="47" xr10:uidLastSave="{00000000-0000-0000-0000-000000000000}"/>
  <bookViews>
    <workbookView xWindow="-120" yWindow="-120" windowWidth="29040" windowHeight="15720" activeTab="2" xr2:uid="{00000000-000D-0000-FFFF-FFFF00000000}"/>
  </bookViews>
  <sheets>
    <sheet name="Gladiator" sheetId="1" r:id="rId1"/>
    <sheet name="Skill" sheetId="8" r:id="rId2"/>
    <sheet name="SkillEffect" sheetId="10" r:id="rId3"/>
    <sheet name="Info" sheetId="6" r:id="rId4"/>
    <sheet name="效果文字生成設定" sheetId="9" r:id="rId5"/>
    <sheet name="Setting" sheetId="7" r:id="rId6"/>
  </sheets>
  <functionGroups builtInGroupCount="19"/>
  <definedNames>
    <definedName name="Activation">OFFSET(Setting!$E$10:$E$64,,,COUNTA(Setting!$E$10:$E$64))</definedName>
    <definedName name="Divine">OFFSET(Setting!$I$10:$I$64,,,COUNTA(Setting!$I$10:$I$64))</definedName>
    <definedName name="EffectType">OFFSET(Setting!$A$10:$A$67,,,COUNTA(Setting!$A$10:$A$67))</definedName>
    <definedName name="Target">OFFSET(Setting!$C$10:$C$64,,,COUNTA(Setting!$C$10:$C$64))</definedName>
    <definedName name="Type">OFFSET(Setting!$G$10:$G$64,,,COUNTA(Setting!$G$10:$G$64))</definedName>
    <definedName name="目標文字">效果文字生成設定!$A$2</definedName>
    <definedName name="其他文字">效果文字生成設定!$A$6</definedName>
    <definedName name="效果文字">效果文字生成設定!$A$17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63" i="7" l="1"/>
  <c r="K64" i="7"/>
  <c r="K65" i="7"/>
  <c r="K66" i="7"/>
  <c r="K67" i="7"/>
  <c r="K68" i="7"/>
  <c r="K69" i="7"/>
  <c r="K70" i="7"/>
  <c r="K71" i="7"/>
  <c r="K72" i="7"/>
  <c r="K73" i="7"/>
  <c r="K74" i="7"/>
  <c r="K75" i="7"/>
  <c r="K76" i="7"/>
  <c r="K77" i="7"/>
  <c r="K78" i="7"/>
  <c r="K79" i="7"/>
  <c r="K80" i="7"/>
  <c r="K81" i="7"/>
  <c r="K82" i="7"/>
  <c r="K83" i="7"/>
  <c r="K84" i="7"/>
  <c r="K85" i="7"/>
  <c r="K86" i="7"/>
  <c r="K87" i="7"/>
  <c r="K88" i="7"/>
  <c r="K89" i="7"/>
  <c r="K90" i="7"/>
  <c r="K91" i="7"/>
  <c r="K92" i="7"/>
  <c r="K93" i="7"/>
  <c r="K94" i="7"/>
  <c r="K95" i="7"/>
  <c r="K96" i="7"/>
  <c r="K97" i="7"/>
  <c r="K98" i="7"/>
  <c r="K99" i="7"/>
  <c r="K100" i="7"/>
  <c r="K101" i="7"/>
  <c r="K102" i="7"/>
  <c r="K103" i="7"/>
  <c r="K104" i="7"/>
  <c r="K105" i="7"/>
  <c r="K106" i="7"/>
  <c r="K107" i="7"/>
  <c r="K108" i="7"/>
  <c r="K109" i="7"/>
  <c r="K110" i="7"/>
  <c r="K111" i="7"/>
  <c r="K112" i="7"/>
  <c r="K113" i="7"/>
  <c r="K114" i="7"/>
  <c r="K115" i="7"/>
  <c r="K116" i="7"/>
  <c r="L11" i="7"/>
  <c r="L13" i="7"/>
  <c r="L14" i="7"/>
  <c r="L21" i="7"/>
  <c r="L15" i="7"/>
  <c r="L16" i="7"/>
  <c r="L22" i="7"/>
  <c r="L17" i="7"/>
  <c r="L18" i="7"/>
  <c r="L19" i="7"/>
  <c r="L20" i="7"/>
  <c r="L23" i="7"/>
  <c r="L24" i="7"/>
  <c r="L25" i="7"/>
  <c r="L26" i="7"/>
  <c r="L27" i="7"/>
  <c r="L28" i="7"/>
  <c r="L29" i="7"/>
  <c r="L30" i="7"/>
  <c r="L31" i="7"/>
  <c r="L32" i="7"/>
  <c r="L33" i="7"/>
  <c r="L34" i="7"/>
  <c r="L35" i="7"/>
  <c r="L36" i="7"/>
  <c r="L37" i="7"/>
  <c r="L38" i="7"/>
  <c r="L39" i="7"/>
  <c r="L40" i="7"/>
  <c r="L41" i="7"/>
  <c r="L42" i="7"/>
  <c r="L43" i="7"/>
  <c r="L44" i="7"/>
  <c r="L45" i="7"/>
  <c r="L46" i="7"/>
  <c r="L47" i="7"/>
  <c r="L48" i="7"/>
  <c r="L49" i="7"/>
  <c r="L50" i="7"/>
  <c r="L51" i="7"/>
  <c r="L52" i="7"/>
  <c r="L53" i="7"/>
  <c r="L54" i="7"/>
  <c r="L55" i="7"/>
  <c r="L56" i="7"/>
  <c r="L57" i="7"/>
  <c r="L58" i="7"/>
  <c r="L59" i="7"/>
  <c r="L60" i="7"/>
  <c r="L61" i="7"/>
  <c r="L62" i="7"/>
  <c r="L63" i="7"/>
  <c r="L64" i="7"/>
  <c r="L65" i="7"/>
  <c r="L66" i="7"/>
  <c r="L67" i="7"/>
  <c r="L68" i="7"/>
  <c r="L69" i="7"/>
  <c r="L70" i="7"/>
  <c r="L71" i="7"/>
  <c r="L72" i="7"/>
  <c r="L73" i="7"/>
  <c r="L74" i="7"/>
  <c r="L75" i="7"/>
  <c r="L76" i="7"/>
  <c r="L77" i="7"/>
  <c r="L78" i="7"/>
  <c r="L79" i="7"/>
  <c r="L80" i="7"/>
  <c r="L81" i="7"/>
  <c r="L82" i="7"/>
  <c r="L83" i="7"/>
  <c r="L84" i="7"/>
  <c r="L85" i="7"/>
  <c r="L86" i="7"/>
  <c r="L87" i="7"/>
  <c r="L88" i="7"/>
  <c r="L89" i="7"/>
  <c r="L90" i="7"/>
  <c r="L91" i="7"/>
  <c r="L92" i="7"/>
  <c r="L93" i="7"/>
  <c r="L94" i="7"/>
  <c r="L95" i="7"/>
  <c r="L96" i="7"/>
  <c r="L97" i="7"/>
  <c r="L98" i="7"/>
  <c r="L99" i="7"/>
  <c r="L100" i="7"/>
  <c r="L101" i="7"/>
  <c r="L102" i="7"/>
  <c r="L103" i="7"/>
  <c r="L104" i="7"/>
  <c r="L105" i="7"/>
  <c r="L106" i="7"/>
  <c r="L107" i="7"/>
  <c r="L108" i="7"/>
  <c r="L109" i="7"/>
  <c r="L110" i="7"/>
  <c r="L111" i="7"/>
  <c r="L112" i="7"/>
  <c r="L113" i="7"/>
  <c r="L114" i="7"/>
  <c r="L115" i="7"/>
  <c r="L116" i="7"/>
  <c r="L10" i="7"/>
  <c r="K54" i="7"/>
  <c r="K60" i="7"/>
  <c r="K59" i="7"/>
  <c r="K57" i="7"/>
  <c r="K56" i="7"/>
  <c r="K55" i="7"/>
  <c r="K53" i="7"/>
  <c r="K52" i="7"/>
  <c r="K51" i="7"/>
  <c r="K50" i="7"/>
  <c r="K49" i="7"/>
  <c r="K48" i="7"/>
  <c r="K47" i="7"/>
  <c r="K46" i="7"/>
  <c r="K45" i="7"/>
  <c r="K44" i="7"/>
  <c r="K43" i="7"/>
  <c r="K42" i="7"/>
  <c r="K41" i="7"/>
  <c r="K40" i="7"/>
  <c r="K39" i="7"/>
  <c r="K38" i="7"/>
  <c r="K37" i="7"/>
  <c r="K36" i="7"/>
  <c r="K35" i="7"/>
  <c r="K34" i="7"/>
  <c r="K33" i="7"/>
  <c r="K32" i="7"/>
  <c r="K31" i="7"/>
  <c r="K30" i="7"/>
  <c r="K29" i="7"/>
  <c r="K28" i="7"/>
  <c r="K27" i="7"/>
  <c r="K26" i="7"/>
  <c r="K62" i="7"/>
  <c r="K61" i="7"/>
  <c r="K20" i="7"/>
  <c r="K23" i="7"/>
  <c r="K19" i="7"/>
  <c r="K18" i="7"/>
  <c r="K58" i="7"/>
  <c r="K25" i="7"/>
  <c r="K17" i="7"/>
  <c r="K22" i="7"/>
  <c r="K24" i="7"/>
  <c r="K16" i="7"/>
  <c r="K15" i="7"/>
  <c r="K21" i="7"/>
  <c r="K14" i="7"/>
  <c r="K13" i="7"/>
  <c r="K11" i="7"/>
  <c r="K10" i="7"/>
</calcChain>
</file>

<file path=xl/sharedStrings.xml><?xml version="1.0" encoding="utf-8"?>
<sst xmlns="http://schemas.openxmlformats.org/spreadsheetml/2006/main" count="1096" uniqueCount="620">
  <si>
    <t>欄位</t>
    <phoneticPr fontId="1" type="noConversion"/>
  </si>
  <si>
    <t>物理傷害</t>
  </si>
  <si>
    <t>魔法傷害</t>
  </si>
  <si>
    <t>物理防禦</t>
  </si>
  <si>
    <t>魔法防禦</t>
  </si>
  <si>
    <t>魔力</t>
  </si>
  <si>
    <t>物理穿透</t>
  </si>
  <si>
    <t>魔法穿透</t>
  </si>
  <si>
    <t>爆擊機率</t>
  </si>
  <si>
    <t>攻擊範圍(顯示用)</t>
  </si>
  <si>
    <t>每五秒回血</t>
  </si>
  <si>
    <t>每五秒回魔</t>
  </si>
  <si>
    <t>顯示角色推薦職業</t>
    <phoneticPr fontId="1" type="noConversion"/>
  </si>
  <si>
    <t>1.坦克</t>
    <phoneticPr fontId="1" type="noConversion"/>
  </si>
  <si>
    <t>2.鬥士</t>
    <phoneticPr fontId="1" type="noConversion"/>
  </si>
  <si>
    <t>3.輔助</t>
    <phoneticPr fontId="1" type="noConversion"/>
  </si>
  <si>
    <t>4.射手</t>
    <phoneticPr fontId="1" type="noConversion"/>
  </si>
  <si>
    <t>5.刺客</t>
    <phoneticPr fontId="1" type="noConversion"/>
  </si>
  <si>
    <t>6.打野</t>
    <phoneticPr fontId="1" type="noConversion"/>
  </si>
  <si>
    <t>7.法師</t>
    <phoneticPr fontId="1" type="noConversion"/>
  </si>
  <si>
    <t>8.近戰</t>
    <phoneticPr fontId="1" type="noConversion"/>
  </si>
  <si>
    <t>9.遠程</t>
    <phoneticPr fontId="1" type="noConversion"/>
  </si>
  <si>
    <t>string</t>
    <phoneticPr fontId="1" type="noConversion"/>
  </si>
  <si>
    <t>characteristic_1</t>
  </si>
  <si>
    <t>characteristic_2</t>
  </si>
  <si>
    <t>Tenacity</t>
  </si>
  <si>
    <t>Range</t>
  </si>
  <si>
    <t>爆擊倍率</t>
  </si>
  <si>
    <t>HP</t>
  </si>
  <si>
    <t>ATK</t>
  </si>
  <si>
    <t>M_ATK</t>
  </si>
  <si>
    <t>DEF</t>
  </si>
  <si>
    <t>M_DEF</t>
  </si>
  <si>
    <t>MP</t>
  </si>
  <si>
    <t>ATK_SPD</t>
  </si>
  <si>
    <t>普攻吸血</t>
  </si>
  <si>
    <t>普攻吸魔</t>
  </si>
  <si>
    <t>生命</t>
  </si>
  <si>
    <t>跑速</t>
  </si>
  <si>
    <t>攻速</t>
  </si>
  <si>
    <t>韌性</t>
  </si>
  <si>
    <t>Crit_Chance</t>
  </si>
  <si>
    <t>Crit_Damage</t>
  </si>
  <si>
    <t>Pearce</t>
  </si>
  <si>
    <t>M_Pearce</t>
  </si>
  <si>
    <t>Move_Speed</t>
  </si>
  <si>
    <t>Life_Steal</t>
  </si>
  <si>
    <t>Mana_Steal</t>
  </si>
  <si>
    <t>Health_Regen</t>
  </si>
  <si>
    <t>Mana_Regen</t>
  </si>
  <si>
    <t>角色特性1</t>
  </si>
  <si>
    <t>角色特性2</t>
  </si>
  <si>
    <t>顯示[角色LV1生命,角色LvMax生命]，由程式自動抓值</t>
  </si>
  <si>
    <t>顯示[角色LV1物理傷害,角色LvMax物理傷害]，由程式自動抓值</t>
  </si>
  <si>
    <t>顯示[角色LV1魔法傷害,角色LvMax魔法傷害]，由程式自動抓值</t>
  </si>
  <si>
    <t>顯示[角色LV1物理防禦,角色LvMax物理防禦]，由程式自動抓值</t>
  </si>
  <si>
    <t>顯示[角色LV1魔法防禦,角色LvMax魔法防禦]，由程式自動抓值</t>
  </si>
  <si>
    <t>顯示[角色LV1魔力,角色LvMaxMP]，由程式自動抓值</t>
  </si>
  <si>
    <t>顯示[角色LV1基礎跑速,角色LvMax基礎跑速]，由程式自動抓值</t>
  </si>
  <si>
    <t>顯示[角色LV1基礎攻速,角色LvMax基礎攻速]，由程式自動抓值</t>
  </si>
  <si>
    <t>顯示[角色LV1物理穿透,角色LvMax物理穿透]，由程式自動抓值</t>
  </si>
  <si>
    <t>顯示[角色LV1物理吸血,角色LvMax物理吸血]，由程式自動抓值</t>
  </si>
  <si>
    <t>顯示[角色LV1魔法穿透,角色LvMax魔法穿透]，由程式自動抓值</t>
  </si>
  <si>
    <t>顯示[角色LV1魔法吸血,角色LvMax魔法吸血]，由程式自動抓值</t>
  </si>
  <si>
    <t>顯示[角色LV1爆擊機率,角色LvMax爆擊機率]，由程式自動抓值</t>
  </si>
  <si>
    <t>顯示[角色LV1爆擊效果,角色LvMax爆擊效果]，由程式自動抓值</t>
  </si>
  <si>
    <t>顯示[角色LV1攻擊範圍,角色LvMax攻擊範圍]，由程式自動抓值</t>
  </si>
  <si>
    <t>顯示[角色LV1基礎韌性,角色LvMax韌性]，由程式自動抓值</t>
  </si>
  <si>
    <t>顯示[角色LV1生命回復,角色LvMax生命回復]，由程式自動抓值</t>
  </si>
  <si>
    <t>顯示[角色LV1魔力回復,角色LvMax魔力回復]，由程式自動抓值</t>
  </si>
  <si>
    <t>表格基本規則</t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</si>
  <si>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輸出Json位置在Setting中設定</t>
    </r>
    <phoneticPr fontId="1" type="noConversion"/>
  </si>
  <si>
    <r>
      <t>※輸出的</t>
    </r>
    <r>
      <rPr>
        <b/>
        <sz val="12"/>
        <color rgb="FFFF0000"/>
        <rFont val="新細明體"/>
        <family val="1"/>
        <charset val="136"/>
        <scheme val="minor"/>
      </rPr>
      <t>Json檔名是抓取所在頁籤的名稱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</si>
  <si>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ID為空時該列不會寫入</t>
    </r>
    <phoneticPr fontId="1" type="noConversion"/>
  </si>
  <si>
    <r>
      <t xml:space="preserve">※第一列的資料名稱若 </t>
    </r>
    <r>
      <rPr>
        <b/>
        <sz val="12"/>
        <color rgb="FFFF0000"/>
        <rFont val="新細明體"/>
        <family val="1"/>
        <charset val="136"/>
        <scheme val="minor"/>
      </rPr>
      <t>以底線結尾，該筆資料不會寫入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</si>
  <si>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End之後的資料不會寫入</t>
    </r>
    <phoneticPr fontId="1" type="noConversion"/>
  </si>
  <si>
    <t>說明</t>
    <phoneticPr fontId="1" type="noConversion"/>
  </si>
  <si>
    <t>資料格式</t>
    <phoneticPr fontId="1" type="noConversion"/>
  </si>
  <si>
    <t>中文名稱</t>
    <phoneticPr fontId="1" type="noConversion"/>
  </si>
  <si>
    <t>編號</t>
    <phoneticPr fontId="1" type="noConversion"/>
  </si>
  <si>
    <t>Object</t>
    <phoneticPr fontId="1" type="noConversion"/>
  </si>
  <si>
    <t>輸出Json</t>
  </si>
  <si>
    <t>End</t>
    <phoneticPr fontId="1" type="noConversion"/>
  </si>
  <si>
    <t>\gladiators\Assets\AddressableAssets\Jsons\</t>
    <phoneticPr fontId="1" type="noConversion"/>
  </si>
  <si>
    <t>Name_</t>
    <phoneticPr fontId="1" type="noConversion"/>
  </si>
  <si>
    <t>名稱</t>
    <phoneticPr fontId="1" type="noConversion"/>
  </si>
  <si>
    <t>暗夜祭司</t>
    <phoneticPr fontId="1" type="noConversion"/>
  </si>
  <si>
    <t>力量</t>
  </si>
  <si>
    <t>擊退</t>
  </si>
  <si>
    <t>爆擊率</t>
  </si>
  <si>
    <t>體力回復</t>
  </si>
  <si>
    <t>史萊姆大王</t>
    <phoneticPr fontId="1" type="noConversion"/>
  </si>
  <si>
    <t>星裔騎士</t>
    <phoneticPr fontId="1" type="noConversion"/>
  </si>
  <si>
    <t>海潮勇士</t>
    <phoneticPr fontId="1" type="noConversion"/>
  </si>
  <si>
    <t>烈火武僧</t>
    <phoneticPr fontId="1" type="noConversion"/>
  </si>
  <si>
    <t>死囚殭屍</t>
    <phoneticPr fontId="1" type="noConversion"/>
  </si>
  <si>
    <t>盲眼俠客</t>
    <phoneticPr fontId="1" type="noConversion"/>
  </si>
  <si>
    <t>大地精</t>
    <phoneticPr fontId="1" type="noConversion"/>
  </si>
  <si>
    <t>畫仙</t>
    <phoneticPr fontId="1" type="noConversion"/>
  </si>
  <si>
    <t>爆破怪客</t>
    <phoneticPr fontId="1" type="noConversion"/>
  </si>
  <si>
    <t>彗星衝劍</t>
    <phoneticPr fontId="1" type="noConversion"/>
  </si>
  <si>
    <t>炎拳</t>
    <phoneticPr fontId="1" type="noConversion"/>
  </si>
  <si>
    <t>拔刀</t>
    <phoneticPr fontId="1" type="noConversion"/>
  </si>
  <si>
    <t>滾球尖刀</t>
    <phoneticPr fontId="1" type="noConversion"/>
  </si>
  <si>
    <t>星月快斬</t>
    <phoneticPr fontId="1" type="noConversion"/>
  </si>
  <si>
    <t>萬紫千紅</t>
    <phoneticPr fontId="1" type="noConversion"/>
  </si>
  <si>
    <t>大船錨</t>
    <phoneticPr fontId="1" type="noConversion"/>
  </si>
  <si>
    <t>黏液派對</t>
    <phoneticPr fontId="1" type="noConversion"/>
  </si>
  <si>
    <t>超級炸彈</t>
    <phoneticPr fontId="1" type="noConversion"/>
  </si>
  <si>
    <t>怨靈咒殺</t>
    <phoneticPr fontId="1" type="noConversion"/>
  </si>
  <si>
    <t>EffectType</t>
    <phoneticPr fontId="1" type="noConversion"/>
  </si>
  <si>
    <t>Target</t>
    <phoneticPr fontId="1" type="noConversion"/>
  </si>
  <si>
    <t>Attack</t>
    <phoneticPr fontId="1" type="noConversion"/>
  </si>
  <si>
    <t>Enemy</t>
    <phoneticPr fontId="1" type="noConversion"/>
  </si>
  <si>
    <t>敵人</t>
    <phoneticPr fontId="1" type="noConversion"/>
  </si>
  <si>
    <t>Myself</t>
    <phoneticPr fontId="1" type="noConversion"/>
  </si>
  <si>
    <t>自己</t>
    <phoneticPr fontId="1" type="noConversion"/>
  </si>
  <si>
    <t>RestoreHP</t>
    <phoneticPr fontId="1" type="noConversion"/>
  </si>
  <si>
    <t>Dizzy</t>
    <phoneticPr fontId="1" type="noConversion"/>
  </si>
  <si>
    <t>Poison</t>
    <phoneticPr fontId="1" type="noConversion"/>
  </si>
  <si>
    <t>Bleeding</t>
    <phoneticPr fontId="1" type="noConversion"/>
  </si>
  <si>
    <t>Weak</t>
    <phoneticPr fontId="1" type="noConversion"/>
  </si>
  <si>
    <t>Protection</t>
    <phoneticPr fontId="1" type="noConversion"/>
  </si>
  <si>
    <t>RestoreVigor</t>
    <phoneticPr fontId="1" type="noConversion"/>
  </si>
  <si>
    <t>暈眩</t>
    <phoneticPr fontId="1" type="noConversion"/>
  </si>
  <si>
    <t>中毒</t>
    <phoneticPr fontId="1" type="noConversion"/>
  </si>
  <si>
    <t>Reflection</t>
    <phoneticPr fontId="1" type="noConversion"/>
  </si>
  <si>
    <t>Burning</t>
    <phoneticPr fontId="1" type="noConversion"/>
  </si>
  <si>
    <t>Fearing</t>
    <phoneticPr fontId="1" type="noConversion"/>
  </si>
  <si>
    <t>Fatigue</t>
    <phoneticPr fontId="1" type="noConversion"/>
  </si>
  <si>
    <t>Vulnerable</t>
    <phoneticPr fontId="1" type="noConversion"/>
  </si>
  <si>
    <t>文字鍵值</t>
    <phoneticPr fontId="1" type="noConversion"/>
  </si>
  <si>
    <t>對應文字</t>
    <phoneticPr fontId="1" type="noConversion"/>
  </si>
  <si>
    <t>目標文字</t>
    <phoneticPr fontId="1" type="noConversion"/>
  </si>
  <si>
    <t>對目標</t>
    <phoneticPr fontId="1" type="noConversion"/>
  </si>
  <si>
    <t>對自身</t>
    <phoneticPr fontId="1" type="noConversion"/>
  </si>
  <si>
    <t>其他文字</t>
    <phoneticPr fontId="1" type="noConversion"/>
  </si>
  <si>
    <t>Comma</t>
    <phoneticPr fontId="1" type="noConversion"/>
  </si>
  <si>
    <t>，</t>
    <phoneticPr fontId="1" type="noConversion"/>
  </si>
  <si>
    <t>And</t>
    <phoneticPr fontId="1" type="noConversion"/>
  </si>
  <si>
    <t>&amp;</t>
    <phoneticPr fontId="1" type="noConversion"/>
  </si>
  <si>
    <t>Max</t>
    <phoneticPr fontId="1" type="noConversion"/>
  </si>
  <si>
    <t>最多</t>
    <phoneticPr fontId="1" type="noConversion"/>
  </si>
  <si>
    <t>Deal</t>
    <phoneticPr fontId="1" type="noConversion"/>
  </si>
  <si>
    <t>造成</t>
    <phoneticPr fontId="1" type="noConversion"/>
  </si>
  <si>
    <t>Cause</t>
    <phoneticPr fontId="1" type="noConversion"/>
  </si>
  <si>
    <t>導致</t>
    <phoneticPr fontId="1" type="noConversion"/>
  </si>
  <si>
    <t>Restore</t>
    <phoneticPr fontId="1" type="noConversion"/>
  </si>
  <si>
    <t>恢復</t>
    <phoneticPr fontId="1" type="noConversion"/>
  </si>
  <si>
    <t>Grant</t>
    <phoneticPr fontId="1" type="noConversion"/>
  </si>
  <si>
    <t>賦予</t>
    <phoneticPr fontId="1" type="noConversion"/>
  </si>
  <si>
    <t>Point</t>
    <phoneticPr fontId="1" type="noConversion"/>
  </si>
  <si>
    <t>Chance</t>
    <phoneticPr fontId="1" type="noConversion"/>
  </si>
  <si>
    <t>機率</t>
    <phoneticPr fontId="1" type="noConversion"/>
  </si>
  <si>
    <t>效果文字</t>
    <phoneticPr fontId="1" type="noConversion"/>
  </si>
  <si>
    <t>傷害</t>
    <phoneticPr fontId="1" type="noConversion"/>
  </si>
  <si>
    <t>生命</t>
    <phoneticPr fontId="1" type="noConversion"/>
  </si>
  <si>
    <t>恐懼</t>
    <phoneticPr fontId="1" type="noConversion"/>
  </si>
  <si>
    <t>%</t>
    <phoneticPr fontId="1" type="noConversion"/>
  </si>
  <si>
    <t>體力</t>
    <phoneticPr fontId="1" type="noConversion"/>
  </si>
  <si>
    <t>流血</t>
    <phoneticPr fontId="1" type="noConversion"/>
  </si>
  <si>
    <t>著火</t>
    <phoneticPr fontId="1" type="noConversion"/>
  </si>
  <si>
    <t>無力</t>
    <phoneticPr fontId="1" type="noConversion"/>
  </si>
  <si>
    <t>虛弱</t>
    <phoneticPr fontId="1" type="noConversion"/>
  </si>
  <si>
    <t>疲勞</t>
    <phoneticPr fontId="1" type="noConversion"/>
  </si>
  <si>
    <t>守護</t>
    <phoneticPr fontId="1" type="noConversion"/>
  </si>
  <si>
    <t>反射傷害</t>
    <phoneticPr fontId="1" type="noConversion"/>
  </si>
  <si>
    <t>Description_</t>
  </si>
  <si>
    <t>說明</t>
  </si>
  <si>
    <t>目標</t>
  </si>
  <si>
    <t>效果類型1</t>
  </si>
  <si>
    <t>效果數值1</t>
  </si>
  <si>
    <t>觸發機率1</t>
  </si>
  <si>
    <t>效果類型2</t>
  </si>
  <si>
    <t>效果數值2</t>
  </si>
  <si>
    <t>觸發機率2</t>
  </si>
  <si>
    <t>效果類型3</t>
  </si>
  <si>
    <t>效果數值3</t>
  </si>
  <si>
    <t>觸發機率3</t>
  </si>
  <si>
    <t>效果類型4</t>
  </si>
  <si>
    <t>效果數值4</t>
  </si>
  <si>
    <t>觸發機率4</t>
  </si>
  <si>
    <t>效果類型5</t>
  </si>
  <si>
    <t>效果數值5</t>
  </si>
  <si>
    <t>觸發機率5</t>
  </si>
  <si>
    <t>效果類型6</t>
  </si>
  <si>
    <t>效果數值6</t>
  </si>
  <si>
    <t>觸發機率6</t>
  </si>
  <si>
    <t>效果類型7</t>
  </si>
  <si>
    <t>效果數值7</t>
  </si>
  <si>
    <t>觸發機率7</t>
  </si>
  <si>
    <t>Rush</t>
    <phoneticPr fontId="1" type="noConversion"/>
  </si>
  <si>
    <t>突擊
快速衝刺進行肉搏</t>
    <phoneticPr fontId="1" type="noConversion"/>
  </si>
  <si>
    <t>ID(s)</t>
    <phoneticPr fontId="1" type="noConversion"/>
  </si>
  <si>
    <t>Activation</t>
    <phoneticPr fontId="1" type="noConversion"/>
  </si>
  <si>
    <t>立即</t>
    <phoneticPr fontId="1" type="noConversion"/>
  </si>
  <si>
    <t>肉搏</t>
    <phoneticPr fontId="1" type="noConversion"/>
  </si>
  <si>
    <t>Instant</t>
    <phoneticPr fontId="1" type="noConversion"/>
  </si>
  <si>
    <t>Melee</t>
    <phoneticPr fontId="1" type="noConversion"/>
  </si>
  <si>
    <t>發動類型</t>
    <phoneticPr fontId="1" type="noConversion"/>
  </si>
  <si>
    <t>先攻</t>
    <phoneticPr fontId="1" type="noConversion"/>
  </si>
  <si>
    <t>Melee</t>
  </si>
  <si>
    <t>Instant</t>
  </si>
  <si>
    <t>Pull</t>
  </si>
  <si>
    <t>Pull</t>
    <phoneticPr fontId="1" type="noConversion"/>
  </si>
  <si>
    <t>拉取
將敵人拉至前往自己</t>
    <phoneticPr fontId="1" type="noConversion"/>
  </si>
  <si>
    <t>Rush</t>
  </si>
  <si>
    <t>突擊</t>
    <phoneticPr fontId="1" type="noConversion"/>
  </si>
  <si>
    <t>拉取</t>
    <phoneticPr fontId="1" type="noConversion"/>
  </si>
  <si>
    <t>技能ID</t>
    <phoneticPr fontId="1" type="noConversion"/>
  </si>
  <si>
    <t>SkillID(n)</t>
    <phoneticPr fontId="1" type="noConversion"/>
  </si>
  <si>
    <t>Enemy</t>
  </si>
  <si>
    <t>Target(s)</t>
    <phoneticPr fontId="1" type="noConversion"/>
  </si>
  <si>
    <t>EffectType1(s)</t>
    <phoneticPr fontId="1" type="noConversion"/>
  </si>
  <si>
    <t>EffectType2(s)</t>
  </si>
  <si>
    <t>EffectType3(s)</t>
  </si>
  <si>
    <t>EffectType4(s)</t>
  </si>
  <si>
    <t>EffectType6(s)</t>
  </si>
  <si>
    <t>EffectType7(s)</t>
  </si>
  <si>
    <t>Bleeding</t>
  </si>
  <si>
    <t>Poison</t>
  </si>
  <si>
    <t>Vulnerable</t>
  </si>
  <si>
    <t>造成(Damage)傷害x(Times), 並賦予(Bleeding)層流血</t>
    <phoneticPr fontId="1" type="noConversion"/>
  </si>
  <si>
    <t>造成(Damage)傷害, 並賦予(Vulnerable)層虛弱 與 (Poison)層中毒</t>
    <phoneticPr fontId="1" type="noConversion"/>
  </si>
  <si>
    <t>Protection</t>
  </si>
  <si>
    <t>向前衝刺(Rush)格並造成(Damage)傷害</t>
    <phoneticPr fontId="1" type="noConversion"/>
  </si>
  <si>
    <t>造成(Damage)傷害</t>
    <phoneticPr fontId="1" type="noConversion"/>
  </si>
  <si>
    <t>造成(Damage)傷害, 並賦予(Burning)層著火</t>
    <phoneticPr fontId="1" type="noConversion"/>
  </si>
  <si>
    <t>Burning</t>
  </si>
  <si>
    <t>造成(Damage)傷害, 並將對手拉向自己(Pull)格</t>
    <phoneticPr fontId="1" type="noConversion"/>
  </si>
  <si>
    <t>Fearing</t>
  </si>
  <si>
    <t>造成(Damage)傷害, 並賦予(Burning)層恐懼</t>
    <phoneticPr fontId="1" type="noConversion"/>
  </si>
  <si>
    <t>造成(Damage)傷害, 並賦予(Bleeding)層流血</t>
    <phoneticPr fontId="1" type="noConversion"/>
  </si>
  <si>
    <t>惡霸滾球</t>
    <phoneticPr fontId="1" type="noConversion"/>
  </si>
  <si>
    <t>9_1</t>
    <phoneticPr fontId="1" type="noConversion"/>
  </si>
  <si>
    <t>Myself</t>
  </si>
  <si>
    <t>獲得(Protection)層加護</t>
    <phoneticPr fontId="1" type="noConversion"/>
  </si>
  <si>
    <t>RestoreHP</t>
  </si>
  <si>
    <t>RestoreVigor</t>
  </si>
  <si>
    <t>恢復(RestoreHP)生命 與 (RestoreVigor)體力</t>
    <phoneticPr fontId="1" type="noConversion"/>
  </si>
  <si>
    <t>重擊</t>
  </si>
  <si>
    <t>快斬</t>
  </si>
  <si>
    <t>重物投擲</t>
  </si>
  <si>
    <t>投擲</t>
  </si>
  <si>
    <t>石化眼</t>
  </si>
  <si>
    <t>火焰吐息</t>
  </si>
  <si>
    <t>叫囂</t>
  </si>
  <si>
    <t>爪襲</t>
  </si>
  <si>
    <t>Knockback</t>
    <phoneticPr fontId="1" type="noConversion"/>
  </si>
  <si>
    <t>擊退</t>
    <phoneticPr fontId="1" type="noConversion"/>
  </si>
  <si>
    <t>頭槌</t>
    <phoneticPr fontId="1" type="noConversion"/>
  </si>
  <si>
    <t>Dizzy</t>
  </si>
  <si>
    <t>賦予(Dizzy)層暈眩</t>
    <phoneticPr fontId="1" type="noConversion"/>
  </si>
  <si>
    <t>賦予激怒(Enraged)層</t>
    <phoneticPr fontId="1" type="noConversion"/>
  </si>
  <si>
    <t>Enraged</t>
  </si>
  <si>
    <t>Enraged</t>
    <phoneticPr fontId="1" type="noConversion"/>
  </si>
  <si>
    <t>激怒</t>
    <phoneticPr fontId="1" type="noConversion"/>
  </si>
  <si>
    <t>EffectProb1(d)</t>
    <phoneticPr fontId="1" type="noConversion"/>
  </si>
  <si>
    <t>EffectProb2(d)</t>
    <phoneticPr fontId="1" type="noConversion"/>
  </si>
  <si>
    <t>EffectProb3(d)</t>
    <phoneticPr fontId="1" type="noConversion"/>
  </si>
  <si>
    <t>EffectProb4(d)</t>
    <phoneticPr fontId="1" type="noConversion"/>
  </si>
  <si>
    <t>EffectType5(s)+T1</t>
    <phoneticPr fontId="1" type="noConversion"/>
  </si>
  <si>
    <t>EffectProb5(d)</t>
    <phoneticPr fontId="1" type="noConversion"/>
  </si>
  <si>
    <t>EffectProb6(d)</t>
    <phoneticPr fontId="1" type="noConversion"/>
  </si>
  <si>
    <t>EffectProb7(d)</t>
    <phoneticPr fontId="1" type="noConversion"/>
  </si>
  <si>
    <r>
      <t>※第一列的資料名稱</t>
    </r>
    <r>
      <rPr>
        <sz val="12"/>
        <color rgb="FFFF0000"/>
        <rFont val="新細明體"/>
        <family val="1"/>
        <charset val="136"/>
        <scheme val="minor"/>
      </rPr>
      <t xml:space="preserve"> </t>
    </r>
    <r>
      <rPr>
        <b/>
        <sz val="12"/>
        <color rgb="FFFF0000"/>
        <rFont val="新細明體"/>
        <family val="1"/>
        <charset val="136"/>
        <scheme val="minor"/>
      </rPr>
      <t>結尾填(n) 代表輸出的json是數字 (d)代表是小數 (s)代表是字串 (b)代表是布林</t>
    </r>
    <phoneticPr fontId="1" type="noConversion"/>
  </si>
  <si>
    <t>[Buffer]流血
受到攻擊額外受到層數傷害直到戰鬥結束</t>
    <phoneticPr fontId="1" type="noConversion"/>
  </si>
  <si>
    <t>[Buffer]恐懼
往後逃跑, 層數是持續時間</t>
    <phoneticPr fontId="1" type="noConversion"/>
  </si>
  <si>
    <t>[Buffer]虛弱
防禦減少30%, 層數是持續時間</t>
    <phoneticPr fontId="1" type="noConversion"/>
  </si>
  <si>
    <t>[Buffer]疲勞
體力回復減少50%, 層數是持續時間</t>
    <phoneticPr fontId="1" type="noConversion"/>
  </si>
  <si>
    <t>[Buffer]加護
受到的傷害減少30%, 層數是持續時間</t>
    <phoneticPr fontId="1" type="noConversion"/>
  </si>
  <si>
    <t>[Buffer]激怒
強制進入突擊狀態, 層數是持續時間</t>
    <phoneticPr fontId="1" type="noConversion"/>
  </si>
  <si>
    <t>..\..\Projects\gladiatorsserver\Realm\mymodule\JsonData\</t>
    <phoneticPr fontId="1" type="noConversion"/>
  </si>
  <si>
    <t>==通用技能==</t>
    <phoneticPr fontId="1" type="noConversion"/>
  </si>
  <si>
    <t>==天賦技能==</t>
    <phoneticPr fontId="1" type="noConversion"/>
  </si>
  <si>
    <t>淬毒武器</t>
    <phoneticPr fontId="1" type="noConversion"/>
  </si>
  <si>
    <t>重擊</t>
    <phoneticPr fontId="1" type="noConversion"/>
  </si>
  <si>
    <t>快斬</t>
    <phoneticPr fontId="1" type="noConversion"/>
  </si>
  <si>
    <t>重物投擲</t>
    <phoneticPr fontId="1" type="noConversion"/>
  </si>
  <si>
    <t>投擲</t>
    <phoneticPr fontId="1" type="noConversion"/>
  </si>
  <si>
    <t>石化眼</t>
    <phoneticPr fontId="1" type="noConversion"/>
  </si>
  <si>
    <t>火焰吐息</t>
    <phoneticPr fontId="1" type="noConversion"/>
  </si>
  <si>
    <t>叫囂</t>
    <phoneticPr fontId="1" type="noConversion"/>
  </si>
  <si>
    <t>爪襲</t>
    <phoneticPr fontId="1" type="noConversion"/>
  </si>
  <si>
    <t>神祉</t>
    <phoneticPr fontId="1" type="noConversion"/>
  </si>
  <si>
    <t>完美格檔</t>
    <phoneticPr fontId="1" type="noConversion"/>
  </si>
  <si>
    <t>Divine</t>
    <phoneticPr fontId="1" type="noConversion"/>
  </si>
  <si>
    <t>Turtle</t>
  </si>
  <si>
    <t>Turtle</t>
    <phoneticPr fontId="1" type="noConversion"/>
  </si>
  <si>
    <t>Snake</t>
  </si>
  <si>
    <t>Snake</t>
    <phoneticPr fontId="1" type="noConversion"/>
  </si>
  <si>
    <t>Bear</t>
  </si>
  <si>
    <t>Bear</t>
    <phoneticPr fontId="1" type="noConversion"/>
  </si>
  <si>
    <t>Deer</t>
  </si>
  <si>
    <t>Deer</t>
    <phoneticPr fontId="1" type="noConversion"/>
  </si>
  <si>
    <t>Passive</t>
  </si>
  <si>
    <t>Passive</t>
    <phoneticPr fontId="1" type="noConversion"/>
  </si>
  <si>
    <t>被動</t>
    <phoneticPr fontId="1" type="noConversion"/>
  </si>
  <si>
    <t>時間內恢復生命</t>
    <phoneticPr fontId="1" type="noConversion"/>
  </si>
  <si>
    <t>堅硬護甲</t>
    <phoneticPr fontId="1" type="noConversion"/>
  </si>
  <si>
    <t>魔法護甲</t>
    <phoneticPr fontId="1" type="noConversion"/>
  </si>
  <si>
    <t>隨著戰鬥時間流逝增加雙防</t>
    <phoneticPr fontId="1" type="noConversion"/>
  </si>
  <si>
    <t>龜息</t>
    <phoneticPr fontId="1" type="noConversion"/>
  </si>
  <si>
    <t>淨化</t>
    <phoneticPr fontId="1" type="noConversion"/>
  </si>
  <si>
    <t>移除所有負面效果</t>
    <phoneticPr fontId="1" type="noConversion"/>
  </si>
  <si>
    <t>恆久守望</t>
    <phoneticPr fontId="1" type="noConversion"/>
  </si>
  <si>
    <t>自癒</t>
    <phoneticPr fontId="1" type="noConversion"/>
  </si>
  <si>
    <t>生命復甦</t>
    <phoneticPr fontId="1" type="noConversion"/>
  </si>
  <si>
    <t>尖刺靈甲</t>
    <phoneticPr fontId="1" type="noConversion"/>
  </si>
  <si>
    <t>反射靈甲</t>
    <phoneticPr fontId="1" type="noConversion"/>
  </si>
  <si>
    <t>==神祉技能==</t>
    <phoneticPr fontId="1" type="noConversion"/>
  </si>
  <si>
    <t>三連擊</t>
    <phoneticPr fontId="1" type="noConversion"/>
  </si>
  <si>
    <t>迅捷</t>
    <phoneticPr fontId="1" type="noConversion"/>
  </si>
  <si>
    <t>關鍵迴避</t>
    <phoneticPr fontId="1" type="noConversion"/>
  </si>
  <si>
    <t>反彈下一次受到的近戰技能</t>
    <phoneticPr fontId="1" type="noConversion"/>
  </si>
  <si>
    <t>反彈下一次受到的遠程技能</t>
    <phoneticPr fontId="1" type="noConversion"/>
  </si>
  <si>
    <t>格檔下一次近戰攻擊</t>
    <phoneticPr fontId="1" type="noConversion"/>
  </si>
  <si>
    <t>雙牙相殺</t>
    <phoneticPr fontId="1" type="noConversion"/>
  </si>
  <si>
    <t>壁壘</t>
    <phoneticPr fontId="1" type="noConversion"/>
  </si>
  <si>
    <t>時間內不會被擊退</t>
    <phoneticPr fontId="1" type="noConversion"/>
  </si>
  <si>
    <t>本場戰鬥先攻值提升</t>
    <phoneticPr fontId="1" type="noConversion"/>
  </si>
  <si>
    <t>本場戰鬥物理防禦上升</t>
  </si>
  <si>
    <t>本場戰鬥魔法防禦上升</t>
  </si>
  <si>
    <t>致命打擊</t>
    <phoneticPr fontId="1" type="noConversion"/>
  </si>
  <si>
    <t>噬血</t>
    <phoneticPr fontId="1" type="noConversion"/>
  </si>
  <si>
    <t>造成對手恐懼</t>
    <phoneticPr fontId="1" type="noConversion"/>
  </si>
  <si>
    <t>恐懼凝視</t>
    <phoneticPr fontId="1" type="noConversion"/>
  </si>
  <si>
    <t>本場攻擊賦予中毒效果</t>
    <phoneticPr fontId="1" type="noConversion"/>
  </si>
  <si>
    <t>勇氣紋身</t>
    <phoneticPr fontId="1" type="noConversion"/>
  </si>
  <si>
    <t>每次受到攻擊後增加1點力量</t>
    <phoneticPr fontId="1" type="noConversion"/>
  </si>
  <si>
    <t>暗影突進</t>
    <phoneticPr fontId="1" type="noConversion"/>
  </si>
  <si>
    <t>遁入暗影</t>
    <phoneticPr fontId="1" type="noConversion"/>
  </si>
  <si>
    <t>進行衝刺持續10秒</t>
    <phoneticPr fontId="1" type="noConversion"/>
  </si>
  <si>
    <t>毀滅打擊</t>
    <phoneticPr fontId="1" type="noConversion"/>
  </si>
  <si>
    <t>續力爆發</t>
    <phoneticPr fontId="1" type="noConversion"/>
  </si>
  <si>
    <t>力量紋身</t>
    <phoneticPr fontId="1" type="noConversion"/>
  </si>
  <si>
    <t>狂怒打擊</t>
    <phoneticPr fontId="1" type="noConversion"/>
  </si>
  <si>
    <t>野性狂暴</t>
    <phoneticPr fontId="1" type="noConversion"/>
  </si>
  <si>
    <t>當生命規0時, 生命回復20%並進入狂暴狀態</t>
    <phoneticPr fontId="1" type="noConversion"/>
  </si>
  <si>
    <t>擊退目標</t>
    <phoneticPr fontId="1" type="noConversion"/>
  </si>
  <si>
    <t>本場戰鬥力量提升</t>
    <phoneticPr fontId="1" type="noConversion"/>
  </si>
  <si>
    <t>無懼熊心</t>
    <phoneticPr fontId="1" type="noConversion"/>
  </si>
  <si>
    <t>耐力紋身</t>
    <phoneticPr fontId="1" type="noConversion"/>
  </si>
  <si>
    <t>本場戰鬥獲得額外體力恢復</t>
    <phoneticPr fontId="1" type="noConversion"/>
  </si>
  <si>
    <t>造成巨量傷害</t>
    <phoneticPr fontId="1" type="noConversion"/>
  </si>
  <si>
    <t>破甲衝擊</t>
    <phoneticPr fontId="1" type="noConversion"/>
  </si>
  <si>
    <t>==巨熊(勇氣)==</t>
    <phoneticPr fontId="1" type="noConversion"/>
  </si>
  <si>
    <t>==靈鹿(智慧)==</t>
    <phoneticPr fontId="1" type="noConversion"/>
  </si>
  <si>
    <t>==妖蛇(狡詐)==</t>
    <phoneticPr fontId="1" type="noConversion"/>
  </si>
  <si>
    <t>==石龜(守護)==</t>
    <phoneticPr fontId="1" type="noConversion"/>
  </si>
  <si>
    <t>靈光乍現</t>
    <phoneticPr fontId="1" type="noConversion"/>
  </si>
  <si>
    <t>技能牌不會按照順序發牌</t>
    <phoneticPr fontId="1" type="noConversion"/>
  </si>
  <si>
    <t>冥想</t>
    <phoneticPr fontId="1" type="noConversion"/>
  </si>
  <si>
    <t>重洗目前的技能卡回牌庫並隨機抽回手牌</t>
    <phoneticPr fontId="1" type="noConversion"/>
  </si>
  <si>
    <t>金鹿角</t>
    <phoneticPr fontId="1" type="noConversion"/>
  </si>
  <si>
    <t>隨著時間流逝累積財富</t>
    <phoneticPr fontId="1" type="noConversion"/>
  </si>
  <si>
    <t>戰鬥開始一段時間後獲得10點耐力</t>
    <phoneticPr fontId="1" type="noConversion"/>
  </si>
  <si>
    <t>迴避威脅</t>
    <phoneticPr fontId="1" type="noConversion"/>
  </si>
  <si>
    <t>賦予自身恐懼效果</t>
    <phoneticPr fontId="1" type="noConversion"/>
  </si>
  <si>
    <t>恩賜</t>
    <phoneticPr fontId="1" type="noConversion"/>
  </si>
  <si>
    <t>靈魂減負</t>
    <phoneticPr fontId="1" type="noConversion"/>
  </si>
  <si>
    <t>戰鬥勝利後獲得20點永久生命</t>
    <phoneticPr fontId="1" type="noConversion"/>
  </si>
  <si>
    <t>免疫控制行動的負面狀態持續10秒</t>
    <phoneticPr fontId="1" type="noConversion"/>
  </si>
  <si>
    <t>石龜(守護)</t>
    <phoneticPr fontId="1" type="noConversion"/>
  </si>
  <si>
    <t>妖蛇(狡詐)</t>
    <phoneticPr fontId="1" type="noConversion"/>
  </si>
  <si>
    <t>巨熊(勇氣)</t>
    <phoneticPr fontId="1" type="noConversion"/>
  </si>
  <si>
    <t>靈鹿(智慧)</t>
    <phoneticPr fontId="1" type="noConversion"/>
  </si>
  <si>
    <t>Type</t>
    <phoneticPr fontId="1" type="noConversion"/>
  </si>
  <si>
    <t>一般技能</t>
    <phoneticPr fontId="1" type="noConversion"/>
  </si>
  <si>
    <t>神祉技能</t>
    <phoneticPr fontId="1" type="noConversion"/>
  </si>
  <si>
    <t>類型</t>
    <phoneticPr fontId="1" type="noConversion"/>
  </si>
  <si>
    <t>Normal</t>
  </si>
  <si>
    <t>Normal</t>
    <phoneticPr fontId="1" type="noConversion"/>
  </si>
  <si>
    <t>Divine</t>
  </si>
  <si>
    <t>==神祉技能==</t>
  </si>
  <si>
    <t>==石龜(守護)==</t>
  </si>
  <si>
    <t>完美格檔</t>
  </si>
  <si>
    <t>生命復甦</t>
  </si>
  <si>
    <t>龜息</t>
  </si>
  <si>
    <t>自癒</t>
  </si>
  <si>
    <t>魔法護甲</t>
  </si>
  <si>
    <t>堅硬護甲</t>
  </si>
  <si>
    <t>恆久守望</t>
  </si>
  <si>
    <t>淨化</t>
  </si>
  <si>
    <t>尖刺靈甲</t>
  </si>
  <si>
    <t>反射靈甲</t>
  </si>
  <si>
    <t>壁壘</t>
  </si>
  <si>
    <t>==妖蛇(狡詐)==</t>
  </si>
  <si>
    <t>淬毒武器</t>
  </si>
  <si>
    <t>致命打擊</t>
  </si>
  <si>
    <t>暗影突進</t>
  </si>
  <si>
    <t>雙牙相殺</t>
  </si>
  <si>
    <t>迅捷</t>
  </si>
  <si>
    <t>遁入暗影</t>
  </si>
  <si>
    <t>恐懼凝視</t>
  </si>
  <si>
    <t>==巨熊(勇氣)==</t>
  </si>
  <si>
    <t>續力爆發</t>
  </si>
  <si>
    <t>狂怒打擊</t>
  </si>
  <si>
    <t>野性狂暴</t>
  </si>
  <si>
    <t>力量紋身</t>
  </si>
  <si>
    <t>耐力紋身</t>
  </si>
  <si>
    <t>毀滅打擊</t>
  </si>
  <si>
    <t>破甲衝擊</t>
  </si>
  <si>
    <t>==靈鹿(智慧)==</t>
  </si>
  <si>
    <t>靈光乍現</t>
  </si>
  <si>
    <t>靈魂減負</t>
  </si>
  <si>
    <t>冥想</t>
  </si>
  <si>
    <t>金鹿角</t>
  </si>
  <si>
    <t>迴避威脅</t>
  </si>
  <si>
    <t>恩賜</t>
  </si>
  <si>
    <t>本場戰鬥先攻值提升</t>
  </si>
  <si>
    <t>造成對手恐懼</t>
  </si>
  <si>
    <t>擊退目標</t>
  </si>
  <si>
    <t>當生命規0時, 生命回復20%並進入狂暴狀態</t>
  </si>
  <si>
    <t>本場戰鬥力量提升</t>
  </si>
  <si>
    <t>本場戰鬥獲得額外體力恢復</t>
  </si>
  <si>
    <t>隨著時間流逝累積財富</t>
  </si>
  <si>
    <t>賦予自身恐懼效果</t>
  </si>
  <si>
    <t>Block</t>
  </si>
  <si>
    <t>Block</t>
    <phoneticPr fontId="1" type="noConversion"/>
  </si>
  <si>
    <t>恢復生命,數值是恢復多少生命</t>
    <phoneticPr fontId="1" type="noConversion"/>
  </si>
  <si>
    <t>恢復體力,數值是恢復多少體力</t>
    <phoneticPr fontId="1" type="noConversion"/>
  </si>
  <si>
    <t>RegenHP</t>
    <phoneticPr fontId="1" type="noConversion"/>
  </si>
  <si>
    <t>RegenVigor</t>
    <phoneticPr fontId="1" type="noConversion"/>
  </si>
  <si>
    <t>EffectValue1(s)</t>
    <phoneticPr fontId="1" type="noConversion"/>
  </si>
  <si>
    <t>EffectValue2(s)</t>
    <phoneticPr fontId="1" type="noConversion"/>
  </si>
  <si>
    <t>EffectValue3(s)</t>
    <phoneticPr fontId="1" type="noConversion"/>
  </si>
  <si>
    <t>EffectValue4(s)</t>
    <phoneticPr fontId="1" type="noConversion"/>
  </si>
  <si>
    <t>EffectValue5(s)</t>
    <phoneticPr fontId="1" type="noConversion"/>
  </si>
  <si>
    <t>EffectValue6(s)</t>
    <phoneticPr fontId="1" type="noConversion"/>
  </si>
  <si>
    <t>EffectValue7(s)</t>
    <phoneticPr fontId="1" type="noConversion"/>
  </si>
  <si>
    <t>根據目前損失的生命百分比獲得額外力量</t>
  </si>
  <si>
    <t>10,10</t>
    <phoneticPr fontId="1" type="noConversion"/>
  </si>
  <si>
    <t>[Buffer]暈眩
無法移動,無法施放立即技能, 層數是持續時間</t>
    <phoneticPr fontId="1" type="noConversion"/>
  </si>
  <si>
    <t>5</t>
    <phoneticPr fontId="1" type="noConversion"/>
  </si>
  <si>
    <t>3</t>
    <phoneticPr fontId="1" type="noConversion"/>
  </si>
  <si>
    <t>持續恢復(RegenHP1)生命(RegenHP2)秒</t>
    <phoneticPr fontId="1" type="noConversion"/>
  </si>
  <si>
    <t>自身暈眩(Dizzy)層, 持續恢復(RegenHP1)生命(RegenHP2)秒</t>
    <phoneticPr fontId="1" type="noConversion"/>
  </si>
  <si>
    <t>10</t>
    <phoneticPr fontId="1" type="noConversion"/>
  </si>
  <si>
    <t>15,10</t>
    <phoneticPr fontId="1" type="noConversion"/>
  </si>
  <si>
    <t>本場戰鬥隨時間恢復生命</t>
    <phoneticPr fontId="1" type="noConversion"/>
  </si>
  <si>
    <t>10,-1</t>
    <phoneticPr fontId="1" type="noConversion"/>
  </si>
  <si>
    <t>MDefUp</t>
  </si>
  <si>
    <t>MDefUp</t>
    <phoneticPr fontId="1" type="noConversion"/>
  </si>
  <si>
    <t>魔法防禦提升(MDefUp1)持續(MDefUp2)秒</t>
    <phoneticPr fontId="1" type="noConversion"/>
  </si>
  <si>
    <t>PDefUp</t>
  </si>
  <si>
    <t>PDefUp</t>
    <phoneticPr fontId="1" type="noConversion"/>
  </si>
  <si>
    <t>[Buffer]物防提升
數值填5,3代表提升5持續3秒</t>
    <phoneticPr fontId="1" type="noConversion"/>
  </si>
  <si>
    <t>[Buffer]魔防提升
數值填5,3代表提升5持續3秒</t>
    <phoneticPr fontId="1" type="noConversion"/>
  </si>
  <si>
    <t>物理防禦提升(PDefUp1)持續(PDefUp2)秒</t>
    <phoneticPr fontId="1" type="noConversion"/>
  </si>
  <si>
    <t>雙防提升(DefUp1)持續(DefUp2)秒</t>
    <phoneticPr fontId="1" type="noConversion"/>
  </si>
  <si>
    <t>1,-1</t>
    <phoneticPr fontId="1" type="noConversion"/>
  </si>
  <si>
    <t>Purge</t>
  </si>
  <si>
    <t>Purge</t>
    <phoneticPr fontId="1" type="noConversion"/>
  </si>
  <si>
    <t>淨化
移除所有負面效果</t>
    <phoneticPr fontId="1" type="noConversion"/>
  </si>
  <si>
    <t>1</t>
    <phoneticPr fontId="1" type="noConversion"/>
  </si>
  <si>
    <t>MeleeSkillReflect</t>
  </si>
  <si>
    <t>MeleeSkillReflect</t>
    <phoneticPr fontId="1" type="noConversion"/>
  </si>
  <si>
    <t>RangeSkillReflect</t>
  </si>
  <si>
    <t>RangeSkillReflect</t>
    <phoneticPr fontId="1" type="noConversion"/>
  </si>
  <si>
    <t>[Buffer]肉搏技能反擊
反彈下一次受到的肉搏技能, 數值是次數</t>
    <phoneticPr fontId="1" type="noConversion"/>
  </si>
  <si>
    <t>[Buffer]遠程技能反擊
反彈下一次受到的遠程技能, 數值是次數</t>
    <phoneticPr fontId="1" type="noConversion"/>
  </si>
  <si>
    <t>獲得(MeleeSkillReflect)肉搏技能反擊</t>
    <phoneticPr fontId="1" type="noConversion"/>
  </si>
  <si>
    <t>獲得(RangeSkillReflect)遠程技能反擊</t>
    <phoneticPr fontId="1" type="noConversion"/>
  </si>
  <si>
    <t>Barrier</t>
    <phoneticPr fontId="1" type="noConversion"/>
  </si>
  <si>
    <t>[Buffer]不動
無法被擊退, 層數是持續時間</t>
    <phoneticPr fontId="1" type="noConversion"/>
  </si>
  <si>
    <t>獲得(Barrier)層不動</t>
    <phoneticPr fontId="1" type="noConversion"/>
  </si>
  <si>
    <t>Poisoning</t>
    <phoneticPr fontId="1" type="noConversion"/>
  </si>
  <si>
    <t>[Buffer]淬毒
攻擊會造成中毒, 層數是持續時間</t>
    <phoneticPr fontId="1" type="noConversion"/>
  </si>
  <si>
    <t>-1</t>
    <phoneticPr fontId="1" type="noConversion"/>
  </si>
  <si>
    <t>獲得(Poisoning)層淬毒</t>
    <phoneticPr fontId="1" type="noConversion"/>
  </si>
  <si>
    <t>[Buffer]連擊
額外技能攻擊次數, 層數是額外次數</t>
    <phoneticPr fontId="1" type="noConversion"/>
  </si>
  <si>
    <t>2</t>
    <phoneticPr fontId="1" type="noConversion"/>
  </si>
  <si>
    <t>ComboAttack</t>
    <phoneticPr fontId="1" type="noConversion"/>
  </si>
  <si>
    <t>Vampire</t>
    <phoneticPr fontId="1" type="noConversion"/>
  </si>
  <si>
    <t>下次攻擊技能爆擊率提升</t>
  </si>
  <si>
    <t>下次攻擊技能爆擊率提升</t>
    <phoneticPr fontId="1" type="noConversion"/>
  </si>
  <si>
    <t>CriticalUp</t>
  </si>
  <si>
    <t>CriticalUp</t>
    <phoneticPr fontId="1" type="noConversion"/>
  </si>
  <si>
    <t>長距離突進</t>
    <phoneticPr fontId="1" type="noConversion"/>
  </si>
  <si>
    <t>突進(Rush)距離</t>
    <phoneticPr fontId="1" type="noConversion"/>
  </si>
  <si>
    <t>MeleeDmgReflect</t>
  </si>
  <si>
    <t>MeleeDmgReflect</t>
    <phoneticPr fontId="1" type="noConversion"/>
  </si>
  <si>
    <t>反彈受到的傷害給對手</t>
    <phoneticPr fontId="1" type="noConversion"/>
  </si>
  <si>
    <t>反彈受到的肉搏傷害給對手</t>
    <phoneticPr fontId="1" type="noConversion"/>
  </si>
  <si>
    <t>InitUp</t>
  </si>
  <si>
    <t>InitUp</t>
    <phoneticPr fontId="1" type="noConversion"/>
  </si>
  <si>
    <t>[Buffer]先攻提升
數值填5,3代表提升5持續3秒</t>
    <phoneticPr fontId="1" type="noConversion"/>
  </si>
  <si>
    <t>Dodge_RangeAttack</t>
  </si>
  <si>
    <t>Dodge_RangeAttack</t>
    <phoneticPr fontId="1" type="noConversion"/>
  </si>
  <si>
    <t>迴避對手的遠程攻擊</t>
    <phoneticPr fontId="1" type="noConversion"/>
  </si>
  <si>
    <t>StrUp</t>
  </si>
  <si>
    <t>StrUp</t>
    <phoneticPr fontId="1" type="noConversion"/>
  </si>
  <si>
    <t>[Buffer]力量提升
數值填5,3代表提升5持續3秒</t>
    <phoneticPr fontId="1" type="noConversion"/>
  </si>
  <si>
    <t>蠻勇衝鋒</t>
    <phoneticPr fontId="1" type="noConversion"/>
  </si>
  <si>
    <t>根據目前損失的生命百分比獲得額外力量</t>
    <phoneticPr fontId="1" type="noConversion"/>
  </si>
  <si>
    <t>Indomitable</t>
  </si>
  <si>
    <t>Indomitable</t>
    <phoneticPr fontId="1" type="noConversion"/>
  </si>
  <si>
    <t>Berserk</t>
  </si>
  <si>
    <t>Berserk</t>
    <phoneticPr fontId="1" type="noConversion"/>
  </si>
  <si>
    <t>[Buffer]狂暴
進入無法控制的狂暴狀態, 力量上升50%, 數值是持續時間</t>
    <phoneticPr fontId="1" type="noConversion"/>
  </si>
  <si>
    <t>StrUpByHp</t>
  </si>
  <si>
    <t>StrUpByHp</t>
    <phoneticPr fontId="1" type="noConversion"/>
  </si>
  <si>
    <t>血怒</t>
    <phoneticPr fontId="1" type="noConversion"/>
  </si>
  <si>
    <t>[Buffer]血怒
根據失去的生命百分比提升力量, 數值填最大提升值</t>
    <phoneticPr fontId="1" type="noConversion"/>
  </si>
  <si>
    <t>30</t>
    <phoneticPr fontId="1" type="noConversion"/>
  </si>
  <si>
    <t>0.1,-1</t>
    <phoneticPr fontId="1" type="noConversion"/>
  </si>
  <si>
    <t>100</t>
    <phoneticPr fontId="1" type="noConversion"/>
  </si>
  <si>
    <t>40</t>
    <phoneticPr fontId="1" type="noConversion"/>
  </si>
  <si>
    <t>造成傷害並降低對手雙防</t>
    <phoneticPr fontId="1" type="noConversion"/>
  </si>
  <si>
    <t>Chaos</t>
  </si>
  <si>
    <t>Chaos</t>
    <phoneticPr fontId="1" type="noConversion"/>
  </si>
  <si>
    <t>[Buffer]混沌
技能牌不會按照順序發牌, 數值填持續秒數</t>
    <phoneticPr fontId="1" type="noConversion"/>
  </si>
  <si>
    <t>SkillVigorUp</t>
    <phoneticPr fontId="1" type="noConversion"/>
  </si>
  <si>
    <t>Shuffle</t>
  </si>
  <si>
    <t>Shuffle</t>
    <phoneticPr fontId="1" type="noConversion"/>
  </si>
  <si>
    <t>洗牌
重洗目前的技能卡回牌庫並隨機抽回手牌</t>
    <phoneticPr fontId="1" type="noConversion"/>
  </si>
  <si>
    <t>Fortune</t>
    <phoneticPr fontId="1" type="noConversion"/>
  </si>
  <si>
    <t>財富
獲得遊戲幣, 數值是增加值</t>
    <phoneticPr fontId="1" type="noConversion"/>
  </si>
  <si>
    <t>顯示對手手牌技能</t>
    <phoneticPr fontId="1" type="noConversion"/>
  </si>
  <si>
    <t>第六感</t>
    <phoneticPr fontId="1" type="noConversion"/>
  </si>
  <si>
    <t>Intuition</t>
  </si>
  <si>
    <t>Intuition</t>
    <phoneticPr fontId="1" type="noConversion"/>
  </si>
  <si>
    <t>PermanentHp</t>
    <phoneticPr fontId="1" type="noConversion"/>
  </si>
  <si>
    <t>永久提升生命
數值填提昇值</t>
    <phoneticPr fontId="1" type="noConversion"/>
  </si>
  <si>
    <t>學習</t>
    <phoneticPr fontId="1" type="noConversion"/>
  </si>
  <si>
    <t>造成物理傷害,數值是造成多少傷害</t>
    <phoneticPr fontId="1" type="noConversion"/>
  </si>
  <si>
    <t>造成魔法傷害,數值是造成多少傷害</t>
    <phoneticPr fontId="1" type="noConversion"/>
  </si>
  <si>
    <t>PDmg</t>
  </si>
  <si>
    <t>PDmg</t>
    <phoneticPr fontId="1" type="noConversion"/>
  </si>
  <si>
    <t>MDmg</t>
    <phoneticPr fontId="1" type="noConversion"/>
  </si>
  <si>
    <t>[Buffer]攻擊吸血
回復下次攻擊技能傷害的百分比生命, 數值填0.5,2代表回復造成傷害的50%生命, 下2次攻擊</t>
    <phoneticPr fontId="1" type="noConversion"/>
  </si>
  <si>
    <t>下次攻擊技能恢復造成傷害的生命</t>
    <phoneticPr fontId="1" type="noConversion"/>
  </si>
  <si>
    <t>參考</t>
    <phoneticPr fontId="1" type="noConversion"/>
  </si>
  <si>
    <t>ID(n)</t>
  </si>
  <si>
    <t>Ref(s)</t>
  </si>
  <si>
    <t>Vigor(n)</t>
  </si>
  <si>
    <t>Type(s)</t>
  </si>
  <si>
    <t>Divine(s)</t>
  </si>
  <si>
    <t>Cost(n)</t>
    <phoneticPr fontId="1" type="noConversion"/>
  </si>
  <si>
    <t>花費</t>
    <phoneticPr fontId="1" type="noConversion"/>
  </si>
  <si>
    <t>[Buffer]隨時間回復生命
數值填5,3代表每秒恢復5生命持續3秒(賦予時會立即觸發1次)</t>
    <phoneticPr fontId="1" type="noConversion"/>
  </si>
  <si>
    <t>[Buffer]隨時間回復體力
數值填5,3代表每秒恢復5體力持續3秒(賦予時會立即觸發1次)</t>
    <phoneticPr fontId="1" type="noConversion"/>
  </si>
  <si>
    <t>[Buffer]中毒
持續受到層數傷害直到戰鬥結束(賦予時會立即觸發1次)</t>
    <phoneticPr fontId="1" type="noConversion"/>
  </si>
  <si>
    <t>[Buffer]無力
傷害減少30%, 層數是持續時間</t>
    <phoneticPr fontId="1" type="noConversion"/>
  </si>
  <si>
    <t>[Buffer]爆擊提升
數值填0.5,3代表提升50%持續3秒</t>
    <phoneticPr fontId="1" type="noConversion"/>
  </si>
  <si>
    <t>爆擊傷害</t>
    <phoneticPr fontId="1" type="noConversion"/>
  </si>
  <si>
    <t>KnockbackUp</t>
    <phoneticPr fontId="1" type="noConversion"/>
  </si>
  <si>
    <t>[Buffer]擊退提升
數值填5,3代表提升5持續3秒</t>
    <phoneticPr fontId="1" type="noConversion"/>
  </si>
  <si>
    <t>ID(n)</t>
    <phoneticPr fontId="1" type="noConversion"/>
  </si>
  <si>
    <t>Spd(d)</t>
    <phoneticPr fontId="1" type="noConversion"/>
  </si>
  <si>
    <t>RushSpd(d)</t>
    <phoneticPr fontId="1" type="noConversion"/>
  </si>
  <si>
    <t>移動速度</t>
    <phoneticPr fontId="1" type="noConversion"/>
  </si>
  <si>
    <t>衝刺速度</t>
    <phoneticPr fontId="1" type="noConversion"/>
  </si>
  <si>
    <t>Hp(n)</t>
    <phoneticPr fontId="1" type="noConversion"/>
  </si>
  <si>
    <t>Str(n)</t>
    <phoneticPr fontId="1" type="noConversion"/>
  </si>
  <si>
    <t>MDef(n)</t>
    <phoneticPr fontId="1" type="noConversion"/>
  </si>
  <si>
    <t>Crit(d)</t>
    <phoneticPr fontId="1" type="noConversion"/>
  </si>
  <si>
    <t>CritDmg(d)</t>
    <phoneticPr fontId="1" type="noConversion"/>
  </si>
  <si>
    <t>VigorRegen(d)</t>
    <phoneticPr fontId="1" type="noConversion"/>
  </si>
  <si>
    <t>PDef(n)</t>
    <phoneticPr fontId="1" type="noConversion"/>
  </si>
  <si>
    <t>Activation(s)</t>
    <phoneticPr fontId="1" type="noConversion"/>
  </si>
  <si>
    <t>Knockback(d)</t>
    <phoneticPr fontId="1" type="noConversion"/>
  </si>
  <si>
    <t>Init(d)</t>
    <phoneticPr fontId="1" type="noConversion"/>
  </si>
  <si>
    <t>參考</t>
  </si>
  <si>
    <t>[Buffer]不屈
免疫行動控制類的負面效果, 層數是持續時間</t>
    <phoneticPr fontId="1" type="noConversion"/>
  </si>
  <si>
    <t>每秒回復體力持續一段時間</t>
    <phoneticPr fontId="1" type="noConversion"/>
  </si>
  <si>
    <t>祈禱</t>
  </si>
  <si>
    <t>祈禱</t>
    <phoneticPr fontId="1" type="noConversion"/>
  </si>
  <si>
    <t>第六感</t>
  </si>
  <si>
    <t>學習</t>
  </si>
  <si>
    <t>RegenVigor</t>
  </si>
  <si>
    <t>0.5,10</t>
    <phoneticPr fontId="1" type="noConversion"/>
  </si>
  <si>
    <t>催眠耳語</t>
    <phoneticPr fontId="1" type="noConversion"/>
  </si>
  <si>
    <t>使對暈眩身持續一段時間</t>
    <phoneticPr fontId="1" type="noConversion"/>
  </si>
  <si>
    <t>自身暈眩, 時間內恢復生命</t>
    <phoneticPr fontId="1" type="noConversion"/>
  </si>
  <si>
    <t>使對手暈眩持續一段時間</t>
    <phoneticPr fontId="1" type="noConversion"/>
  </si>
  <si>
    <t>隨機一個技能本場戰鬥技能消耗體力-1</t>
    <phoneticPr fontId="1" type="noConversion"/>
  </si>
  <si>
    <t>[Buffer]技能耗體增加
隨機一個技能本場戰鬥技能消耗體力增加, 填2,-1代表隨機2個技能體力需求-1</t>
    <phoneticPr fontId="1" type="noConversion"/>
  </si>
  <si>
    <t>[Buffer]迴避對手遠程攻擊, 層數是次數</t>
    <phoneticPr fontId="1" type="noConversion"/>
  </si>
  <si>
    <t>TriggerEffect_BeAttack_StrUp</t>
  </si>
  <si>
    <t>TriggerEffect_BeAttack_StrUp</t>
    <phoneticPr fontId="1" type="noConversion"/>
  </si>
  <si>
    <t>TriggerEffect_Time_Fortune</t>
  </si>
  <si>
    <t>TriggerEffect_Time_Fortune</t>
    <phoneticPr fontId="1" type="noConversion"/>
  </si>
  <si>
    <t>[Buffer]觸發效果-每秒, 獲得遊戲幣
數值填獲得量</t>
    <phoneticPr fontId="1" type="noConversion"/>
  </si>
  <si>
    <t>TriggerEffect_WaitTime_RestoreVigor</t>
    <phoneticPr fontId="1" type="noConversion"/>
  </si>
  <si>
    <t>[Buffer]觸發效果-X秒後, 恢復體力
數值填5,10就是5秒後獲得10體力</t>
    <phoneticPr fontId="1" type="noConversion"/>
  </si>
  <si>
    <t>5,10</t>
    <phoneticPr fontId="1" type="noConversion"/>
  </si>
  <si>
    <t>TriggerEffect_BattleResult_PermanentHp</t>
  </si>
  <si>
    <t>TriggerEffect_BattleResult_PermanentHp</t>
    <phoneticPr fontId="1" type="noConversion"/>
  </si>
  <si>
    <t>[Buffer]觸發效果-戰鬥結果觸發, 生命永久上升
數值填0,20代表戰鬥勝利時生命永久上升20
0為勝利
1為平手
2為戰敗</t>
    <phoneticPr fontId="1" type="noConversion"/>
  </si>
  <si>
    <t>0,20</t>
    <phoneticPr fontId="1" type="noConversion"/>
  </si>
  <si>
    <t>3,2</t>
    <phoneticPr fontId="1" type="noConversion"/>
  </si>
  <si>
    <t>下一個X耗以下攻擊技能額外發動兩次</t>
    <phoneticPr fontId="1" type="noConversion"/>
  </si>
  <si>
    <t>下一次肉搏若比對手先攻, 迴避對手的技能</t>
  </si>
  <si>
    <t>下一次肉搏若比對手先攻, 迴避對手的技能</t>
    <phoneticPr fontId="1" type="noConversion"/>
  </si>
  <si>
    <t>TriggerEffect_SkillVigorBelow_ComboAttack</t>
  </si>
  <si>
    <t>TriggerEffect_SkillVigorBelow_ComboAttack</t>
    <phoneticPr fontId="1" type="noConversion"/>
  </si>
  <si>
    <t>TriggerEffect_FirstAttack_Dodge</t>
  </si>
  <si>
    <t>TriggerEffect_FirstAttack_Dodge</t>
    <phoneticPr fontId="1" type="noConversion"/>
  </si>
  <si>
    <t>[Buffer]力量爆發
填3就是下次的攻擊技能力量提升額外3倍</t>
    <phoneticPr fontId="1" type="noConversion"/>
  </si>
  <si>
    <t>StrBurst</t>
  </si>
  <si>
    <t>StrBurst</t>
    <phoneticPr fontId="1" type="noConversion"/>
  </si>
  <si>
    <t>下一次發動的技能力量提升額外2倍</t>
    <phoneticPr fontId="1" type="noConversion"/>
  </si>
  <si>
    <t>[Buffer]直覺
顯示對手手牌技能</t>
    <phoneticPr fontId="1" type="noConversion"/>
  </si>
  <si>
    <t>下一個3耗以下攻擊技能額外發動兩次</t>
    <phoneticPr fontId="1" type="noConversion"/>
  </si>
  <si>
    <t>[Buffer]著火
每數秒受到層數傷害直到層數歸0, 每次受到傷害後層數減半(賦予時會立即觸發1次)</t>
    <phoneticPr fontId="1" type="noConversion"/>
  </si>
  <si>
    <t>[Buffer]觸發條件-下一技能耗體在X以下(包含X)觸發, 獲得ComboAttack數, 移除此Buffer
數值填3,2代表技能消耗在3以下獲得2層ComboAttack</t>
    <phoneticPr fontId="1" type="noConversion"/>
  </si>
  <si>
    <t>[Buffer]觸發條件-比對手先攻, 迴避對手攻擊, 移除此Buffer</t>
    <phoneticPr fontId="1" type="noConversion"/>
  </si>
  <si>
    <t>[Buffer]觸發效果-受到攻擊時, 力量上升
數值填力量上升值</t>
    <phoneticPr fontId="1" type="noConversion"/>
  </si>
  <si>
    <t>[Buffer]肉搏傷害反射
受到肉搏攻擊會反彈受到的百分比傷害給攻擊者, 數值填0.5,3就是反彈50%傷害持續3秒</t>
    <phoneticPr fontId="1" type="noConversion"/>
  </si>
  <si>
    <t>[Buffer]格檔
格檔對手的攻擊，數值填3就是格檔3次</t>
    <phoneticPr fontId="1" type="noConversion"/>
  </si>
  <si>
    <t>1002_1</t>
    <phoneticPr fontId="1" type="noConversion"/>
  </si>
  <si>
    <t>20</t>
    <phoneticPr fontId="1" type="noConversion"/>
  </si>
  <si>
    <t>35</t>
    <phoneticPr fontId="1" type="noConversion"/>
  </si>
  <si>
    <t>劇毒飛刀</t>
    <phoneticPr fontId="1" type="noConversion"/>
  </si>
  <si>
    <t>造成(Damage)傷害, 並賦予(Poison)層中毒</t>
    <phoneticPr fontId="1" type="noConversion"/>
  </si>
  <si>
    <t>TrueDmg</t>
  </si>
  <si>
    <t>TrueDmg</t>
    <phoneticPr fontId="1" type="noConversion"/>
  </si>
  <si>
    <t>真實傷害(不受任何增/減傷影響的直接傷害), 數值是傷害值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</si>
</sst>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8" formatCode="0.00_);\(0.00\)"/>
  </numFmts>
  <fonts count="12" x14ac:knownFonts="1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  <scheme val="minor"/>
    </font>
    <font>
      <sz val="12"/>
      <color theme="0"/>
      <name val="新細明體"/>
      <family val="2"/>
      <scheme val="minor"/>
    </font>
    <font>
      <sz val="12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1"/>
      <color theme="2" tint="-0.249977111117893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12"/>
      <color indexed="8"/>
      <name val="新細明體"/>
      <family val="1"/>
      <charset val="128"/>
    </font>
    <font>
      <sz val="12"/>
      <color rgb="FFFF0000"/>
      <name val="新細明體"/>
      <family val="1"/>
      <charset val="136"/>
      <scheme val="minor"/>
    </font>
  </fonts>
  <fills count="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9" fillId="0" borderId="0"/>
    <xf numFmtId="0" fontId="10" fillId="0" borderId="0">
      <alignment vertical="center"/>
    </xf>
  </cellStyleXfs>
  <cellXfs count="38">
    <xf numFmtId="0" fontId="0" fillId="0" borderId="0" xfId="0"/>
    <xf numFmtId="0" fontId="2" fillId="2" borderId="0" xfId="0" applyFont="1" applyFill="1"/>
    <xf numFmtId="0" fontId="3" fillId="0" borderId="0" xfId="0" applyFont="1"/>
    <xf numFmtId="0" fontId="4" fillId="2" borderId="0" xfId="0" applyFont="1" applyFill="1"/>
    <xf numFmtId="0" fontId="5" fillId="2" borderId="0" xfId="0" applyFont="1" applyFill="1"/>
    <xf numFmtId="0" fontId="6" fillId="0" borderId="0" xfId="0" applyFont="1"/>
    <xf numFmtId="0" fontId="0" fillId="0" borderId="0" xfId="0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8" fillId="3" borderId="0" xfId="0" applyFont="1" applyFill="1"/>
    <xf numFmtId="0" fontId="0" fillId="0" borderId="0" xfId="0" applyAlignment="1">
      <alignment wrapText="1"/>
    </xf>
    <xf numFmtId="0" fontId="3" fillId="0" borderId="0" xfId="1" applyFont="1"/>
    <xf numFmtId="0" fontId="3" fillId="0" borderId="0" xfId="0" applyFont="1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1" applyFont="1"/>
    <xf numFmtId="9" fontId="2" fillId="2" borderId="0" xfId="0" applyNumberFormat="1" applyFont="1" applyFill="1" applyAlignment="1">
      <alignment horizontal="center" vertical="center"/>
    </xf>
    <xf numFmtId="9" fontId="0" fillId="0" borderId="0" xfId="0" applyNumberFormat="1" applyAlignment="1">
      <alignment horizontal="center" vertical="center"/>
    </xf>
    <xf numFmtId="9" fontId="0" fillId="0" borderId="0" xfId="0" applyNumberFormat="1"/>
    <xf numFmtId="0" fontId="2" fillId="2" borderId="0" xfId="0" applyFont="1" applyFill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9" fontId="0" fillId="0" borderId="0" xfId="0" applyNumberFormat="1" applyAlignment="1">
      <alignment horizontal="center"/>
    </xf>
    <xf numFmtId="49" fontId="2" fillId="2" borderId="0" xfId="0" applyNumberFormat="1" applyFont="1" applyFill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0" fontId="0" fillId="4" borderId="0" xfId="0" applyFill="1" applyAlignment="1">
      <alignment horizontal="center" vertical="center"/>
    </xf>
    <xf numFmtId="49" fontId="0" fillId="4" borderId="0" xfId="0" applyNumberFormat="1" applyFill="1" applyAlignment="1">
      <alignment horizontal="left" vertical="center"/>
    </xf>
    <xf numFmtId="0" fontId="0" fillId="4" borderId="0" xfId="0" applyFill="1" applyAlignment="1">
      <alignment horizontal="left" vertical="center"/>
    </xf>
    <xf numFmtId="49" fontId="0" fillId="0" borderId="0" xfId="0" applyNumberFormat="1" applyAlignment="1">
      <alignment horizontal="left"/>
    </xf>
    <xf numFmtId="49" fontId="2" fillId="2" borderId="0" xfId="0" applyNumberFormat="1" applyFont="1" applyFill="1" applyAlignment="1">
      <alignment horizontal="center" vertical="center"/>
    </xf>
    <xf numFmtId="49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 vertical="center"/>
    </xf>
    <xf numFmtId="49" fontId="0" fillId="4" borderId="0" xfId="0" applyNumberFormat="1" applyFill="1" applyAlignment="1">
      <alignment horizontal="center" vertical="center"/>
    </xf>
    <xf numFmtId="0" fontId="0" fillId="5" borderId="0" xfId="0" applyFill="1"/>
    <xf numFmtId="0" fontId="0" fillId="0" borderId="0" xfId="0" applyFill="1"/>
    <xf numFmtId="0" fontId="0" fillId="0" borderId="0" xfId="0" applyFill="1" applyAlignment="1">
      <alignment wrapText="1"/>
    </xf>
    <xf numFmtId="178" fontId="2" fillId="2" borderId="0" xfId="0" applyNumberFormat="1" applyFont="1" applyFill="1" applyAlignment="1">
      <alignment horizontal="center" vertical="center"/>
    </xf>
    <xf numFmtId="178" fontId="0" fillId="0" borderId="0" xfId="0" applyNumberFormat="1" applyAlignment="1">
      <alignment horizontal="center" vertical="center"/>
    </xf>
    <xf numFmtId="178" fontId="0" fillId="4" borderId="0" xfId="0" applyNumberFormat="1" applyFill="1" applyAlignment="1">
      <alignment horizontal="center" vertical="center"/>
    </xf>
  </cellXfs>
  <cellStyles count="3">
    <cellStyle name="Excel Built-in Normal" xfId="2" xr:uid="{00000000-0005-0000-0000-000000000000}"/>
    <cellStyle name="一般" xfId="0" builtinId="0"/>
    <cellStyle name="一般 2" xfId="1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N1048576"/>
  <sheetViews>
    <sheetView zoomScaleNormal="100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I21" sqref="I21"/>
    </sheetView>
  </sheetViews>
  <sheetFormatPr defaultColWidth="10.42578125" defaultRowHeight="15.75" x14ac:dyDescent="0.25"/>
  <cols>
    <col min="1" max="1" width="9.140625" style="6" customWidth="1"/>
    <col min="2" max="2" width="15.7109375" style="6" customWidth="1"/>
    <col min="3" max="3" width="11" customWidth="1"/>
    <col min="7" max="7" width="10.42578125" style="16"/>
    <col min="8" max="8" width="14.28515625" style="16" customWidth="1"/>
    <col min="9" max="9" width="14.85546875" customWidth="1"/>
    <col min="10" max="13" width="13.7109375" customWidth="1"/>
  </cols>
  <sheetData>
    <row r="1" spans="1:14" s="7" customFormat="1" x14ac:dyDescent="0.25">
      <c r="A1" s="7" t="s">
        <v>549</v>
      </c>
      <c r="B1" s="7" t="s">
        <v>84</v>
      </c>
      <c r="C1" s="7" t="s">
        <v>554</v>
      </c>
      <c r="D1" s="7" t="s">
        <v>555</v>
      </c>
      <c r="E1" s="7" t="s">
        <v>560</v>
      </c>
      <c r="F1" s="7" t="s">
        <v>556</v>
      </c>
      <c r="G1" s="14" t="s">
        <v>557</v>
      </c>
      <c r="H1" s="14" t="s">
        <v>558</v>
      </c>
      <c r="I1" s="7" t="s">
        <v>559</v>
      </c>
      <c r="J1" s="7" t="s">
        <v>562</v>
      </c>
      <c r="K1" s="7" t="s">
        <v>563</v>
      </c>
      <c r="L1" s="7" t="s">
        <v>550</v>
      </c>
      <c r="M1" s="7" t="s">
        <v>551</v>
      </c>
      <c r="N1" s="7" t="s">
        <v>535</v>
      </c>
    </row>
    <row r="2" spans="1:14" s="7" customFormat="1" x14ac:dyDescent="0.25">
      <c r="A2" s="7" t="s">
        <v>79</v>
      </c>
      <c r="B2" s="7" t="s">
        <v>85</v>
      </c>
      <c r="C2" s="7" t="s">
        <v>37</v>
      </c>
      <c r="D2" s="7" t="s">
        <v>87</v>
      </c>
      <c r="E2" s="7" t="s">
        <v>3</v>
      </c>
      <c r="F2" s="7" t="s">
        <v>4</v>
      </c>
      <c r="G2" s="14" t="s">
        <v>89</v>
      </c>
      <c r="H2" s="14" t="s">
        <v>546</v>
      </c>
      <c r="I2" s="7" t="s">
        <v>90</v>
      </c>
      <c r="J2" s="7" t="s">
        <v>88</v>
      </c>
      <c r="K2" s="7" t="s">
        <v>200</v>
      </c>
      <c r="L2" s="7" t="s">
        <v>552</v>
      </c>
      <c r="M2" s="7" t="s">
        <v>553</v>
      </c>
      <c r="N2" s="7" t="s">
        <v>564</v>
      </c>
    </row>
    <row r="3" spans="1:14" s="6" customFormat="1" x14ac:dyDescent="0.25">
      <c r="A3" s="6">
        <v>1</v>
      </c>
      <c r="B3" s="12" t="s">
        <v>86</v>
      </c>
      <c r="C3" s="6">
        <v>300</v>
      </c>
      <c r="D3" s="6">
        <v>20</v>
      </c>
      <c r="E3" s="6">
        <v>5</v>
      </c>
      <c r="F3" s="6">
        <v>5</v>
      </c>
      <c r="G3" s="15">
        <v>0.05</v>
      </c>
      <c r="H3" s="15">
        <v>1.5</v>
      </c>
      <c r="I3" s="6">
        <v>1</v>
      </c>
      <c r="J3" s="6">
        <v>10</v>
      </c>
      <c r="K3" s="6">
        <v>0</v>
      </c>
      <c r="L3" s="6">
        <v>6</v>
      </c>
      <c r="M3" s="6">
        <v>4</v>
      </c>
      <c r="N3" s="6">
        <v>1</v>
      </c>
    </row>
    <row r="4" spans="1:14" x14ac:dyDescent="0.25">
      <c r="A4" s="6">
        <v>2</v>
      </c>
      <c r="B4" s="12" t="s">
        <v>91</v>
      </c>
      <c r="C4" s="6">
        <v>300</v>
      </c>
      <c r="D4" s="6">
        <v>20</v>
      </c>
      <c r="E4" s="6">
        <v>5</v>
      </c>
      <c r="F4" s="6">
        <v>5</v>
      </c>
      <c r="G4" s="15">
        <v>0.05</v>
      </c>
      <c r="H4" s="15">
        <v>1.5</v>
      </c>
      <c r="I4" s="6">
        <v>1</v>
      </c>
      <c r="J4" s="6">
        <v>10</v>
      </c>
      <c r="K4" s="6">
        <v>0</v>
      </c>
      <c r="L4" s="6">
        <v>6</v>
      </c>
      <c r="M4" s="6">
        <v>4</v>
      </c>
      <c r="N4" s="6">
        <v>2</v>
      </c>
    </row>
    <row r="5" spans="1:14" x14ac:dyDescent="0.25">
      <c r="A5" s="6">
        <v>3</v>
      </c>
      <c r="B5" s="12" t="s">
        <v>92</v>
      </c>
      <c r="C5" s="6">
        <v>300</v>
      </c>
      <c r="D5" s="6">
        <v>20</v>
      </c>
      <c r="E5" s="6">
        <v>5</v>
      </c>
      <c r="F5" s="6">
        <v>5</v>
      </c>
      <c r="G5" s="15">
        <v>0.05</v>
      </c>
      <c r="H5" s="15">
        <v>1.5</v>
      </c>
      <c r="I5" s="6">
        <v>1</v>
      </c>
      <c r="J5" s="6">
        <v>10</v>
      </c>
      <c r="K5" s="6">
        <v>0</v>
      </c>
      <c r="L5" s="6">
        <v>6</v>
      </c>
      <c r="M5" s="6">
        <v>4</v>
      </c>
      <c r="N5" s="6">
        <v>3</v>
      </c>
    </row>
    <row r="6" spans="1:14" x14ac:dyDescent="0.25">
      <c r="A6" s="6">
        <v>4</v>
      </c>
      <c r="B6" s="12" t="s">
        <v>99</v>
      </c>
      <c r="C6" s="6">
        <v>300</v>
      </c>
      <c r="D6" s="6">
        <v>20</v>
      </c>
      <c r="E6" s="6">
        <v>5</v>
      </c>
      <c r="F6" s="6">
        <v>5</v>
      </c>
      <c r="G6" s="15">
        <v>0.05</v>
      </c>
      <c r="H6" s="15">
        <v>1.5</v>
      </c>
      <c r="I6" s="6">
        <v>1</v>
      </c>
      <c r="J6" s="6">
        <v>10</v>
      </c>
      <c r="K6" s="6">
        <v>0</v>
      </c>
      <c r="L6" s="6">
        <v>6</v>
      </c>
      <c r="M6" s="6">
        <v>4</v>
      </c>
      <c r="N6" s="6">
        <v>4</v>
      </c>
    </row>
    <row r="7" spans="1:14" x14ac:dyDescent="0.25">
      <c r="A7" s="6">
        <v>5</v>
      </c>
      <c r="B7" s="12" t="s">
        <v>93</v>
      </c>
      <c r="C7" s="6">
        <v>300</v>
      </c>
      <c r="D7" s="6">
        <v>20</v>
      </c>
      <c r="E7" s="6">
        <v>5</v>
      </c>
      <c r="F7" s="6">
        <v>5</v>
      </c>
      <c r="G7" s="15">
        <v>0.05</v>
      </c>
      <c r="H7" s="15">
        <v>1.5</v>
      </c>
      <c r="I7" s="6">
        <v>1</v>
      </c>
      <c r="J7" s="6">
        <v>10</v>
      </c>
      <c r="K7" s="6">
        <v>0</v>
      </c>
      <c r="L7" s="6">
        <v>6</v>
      </c>
      <c r="M7" s="6">
        <v>4</v>
      </c>
      <c r="N7" s="6">
        <v>5</v>
      </c>
    </row>
    <row r="8" spans="1:14" x14ac:dyDescent="0.25">
      <c r="A8" s="6">
        <v>6</v>
      </c>
      <c r="B8" s="12" t="s">
        <v>94</v>
      </c>
      <c r="C8" s="6">
        <v>300</v>
      </c>
      <c r="D8" s="6">
        <v>20</v>
      </c>
      <c r="E8" s="6">
        <v>5</v>
      </c>
      <c r="F8" s="6">
        <v>5</v>
      </c>
      <c r="G8" s="15">
        <v>0.05</v>
      </c>
      <c r="H8" s="15">
        <v>1.5</v>
      </c>
      <c r="I8" s="6">
        <v>1</v>
      </c>
      <c r="J8" s="6">
        <v>10</v>
      </c>
      <c r="K8" s="6">
        <v>0</v>
      </c>
      <c r="L8" s="6">
        <v>6</v>
      </c>
      <c r="M8" s="6">
        <v>4</v>
      </c>
      <c r="N8" s="6">
        <v>6</v>
      </c>
    </row>
    <row r="9" spans="1:14" x14ac:dyDescent="0.25">
      <c r="A9" s="6">
        <v>7</v>
      </c>
      <c r="B9" s="12" t="s">
        <v>95</v>
      </c>
      <c r="C9" s="6">
        <v>300</v>
      </c>
      <c r="D9" s="6">
        <v>20</v>
      </c>
      <c r="E9" s="6">
        <v>5</v>
      </c>
      <c r="F9" s="6">
        <v>5</v>
      </c>
      <c r="G9" s="15">
        <v>0.05</v>
      </c>
      <c r="H9" s="15">
        <v>1.5</v>
      </c>
      <c r="I9" s="6">
        <v>1</v>
      </c>
      <c r="J9" s="6">
        <v>10</v>
      </c>
      <c r="K9" s="6">
        <v>0</v>
      </c>
      <c r="L9" s="6">
        <v>6</v>
      </c>
      <c r="M9" s="6">
        <v>4</v>
      </c>
      <c r="N9" s="6">
        <v>7</v>
      </c>
    </row>
    <row r="10" spans="1:14" x14ac:dyDescent="0.25">
      <c r="A10" s="6">
        <v>8</v>
      </c>
      <c r="B10" s="12" t="s">
        <v>96</v>
      </c>
      <c r="C10" s="6">
        <v>300</v>
      </c>
      <c r="D10" s="6">
        <v>20</v>
      </c>
      <c r="E10" s="6">
        <v>5</v>
      </c>
      <c r="F10" s="6">
        <v>5</v>
      </c>
      <c r="G10" s="15">
        <v>0.05</v>
      </c>
      <c r="H10" s="15">
        <v>1.5</v>
      </c>
      <c r="I10" s="6">
        <v>1</v>
      </c>
      <c r="J10" s="6">
        <v>10</v>
      </c>
      <c r="K10" s="6">
        <v>0</v>
      </c>
      <c r="L10" s="6">
        <v>6</v>
      </c>
      <c r="M10" s="6">
        <v>4</v>
      </c>
      <c r="N10" s="6">
        <v>8</v>
      </c>
    </row>
    <row r="11" spans="1:14" x14ac:dyDescent="0.25">
      <c r="A11" s="6">
        <v>9</v>
      </c>
      <c r="B11" s="12" t="s">
        <v>97</v>
      </c>
      <c r="C11" s="6">
        <v>300</v>
      </c>
      <c r="D11" s="6">
        <v>20</v>
      </c>
      <c r="E11" s="6">
        <v>5</v>
      </c>
      <c r="F11" s="6">
        <v>5</v>
      </c>
      <c r="G11" s="15">
        <v>0.05</v>
      </c>
      <c r="H11" s="15">
        <v>1.5</v>
      </c>
      <c r="I11" s="6">
        <v>1</v>
      </c>
      <c r="J11" s="6">
        <v>10</v>
      </c>
      <c r="K11" s="6">
        <v>0</v>
      </c>
      <c r="L11" s="6">
        <v>6</v>
      </c>
      <c r="M11" s="6">
        <v>4</v>
      </c>
      <c r="N11" s="6">
        <v>9</v>
      </c>
    </row>
    <row r="12" spans="1:14" x14ac:dyDescent="0.25">
      <c r="A12" s="6">
        <v>10</v>
      </c>
      <c r="B12" s="12" t="s">
        <v>98</v>
      </c>
      <c r="C12" s="6">
        <v>300</v>
      </c>
      <c r="D12" s="6">
        <v>20</v>
      </c>
      <c r="E12" s="6">
        <v>5</v>
      </c>
      <c r="F12" s="6">
        <v>5</v>
      </c>
      <c r="G12" s="15">
        <v>0.05</v>
      </c>
      <c r="H12" s="15">
        <v>1.5</v>
      </c>
      <c r="I12" s="6">
        <v>1</v>
      </c>
      <c r="J12" s="6">
        <v>10</v>
      </c>
      <c r="K12" s="6">
        <v>0</v>
      </c>
      <c r="L12" s="6">
        <v>6</v>
      </c>
      <c r="M12" s="6">
        <v>4</v>
      </c>
      <c r="N12" s="6">
        <v>10</v>
      </c>
    </row>
    <row r="14" spans="1:14" x14ac:dyDescent="0.25">
      <c r="A14" s="11" t="s">
        <v>82</v>
      </c>
    </row>
    <row r="1048576" spans="4:4" x14ac:dyDescent="0.25">
      <c r="D1048576" s="6"/>
    </row>
  </sheetData>
  <dataConsolidate/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939416-FF93-4617-934E-3925F01CB407}">
  <sheetPr codeName="工作表2"/>
  <dimension ref="A1:R87"/>
  <sheetViews>
    <sheetView showFormulas="1" zoomScaleNormal="100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B29" sqref="B29"/>
    </sheetView>
  </sheetViews>
  <sheetFormatPr defaultColWidth="10.42578125" defaultRowHeight="15.75" x14ac:dyDescent="0.25"/>
  <cols>
    <col min="1" max="1" width="8" style="6" customWidth="1"/>
    <col min="2" max="2" width="15.7109375" style="23" customWidth="1"/>
    <col min="3" max="3" width="6.28515625" style="30" customWidth="1"/>
    <col min="4" max="4" width="8.140625" customWidth="1"/>
    <col min="5" max="5" width="7.7109375" style="6" customWidth="1"/>
    <col min="6" max="6" width="7.7109375" customWidth="1"/>
    <col min="7" max="7" width="6.7109375" style="36" customWidth="1"/>
    <col min="8" max="8" width="7.7109375" customWidth="1"/>
    <col min="9" max="9" width="7.28515625" customWidth="1"/>
    <col min="10" max="10" width="7.5703125" customWidth="1"/>
    <col min="11" max="11" width="24.7109375" style="19" customWidth="1"/>
  </cols>
  <sheetData>
    <row r="1" spans="1:11" s="7" customFormat="1" x14ac:dyDescent="0.25">
      <c r="A1" s="7" t="s">
        <v>534</v>
      </c>
      <c r="B1" s="22" t="s">
        <v>84</v>
      </c>
      <c r="C1" s="7" t="s">
        <v>535</v>
      </c>
      <c r="D1" s="7" t="s">
        <v>561</v>
      </c>
      <c r="E1" s="7" t="s">
        <v>539</v>
      </c>
      <c r="F1" s="7" t="s">
        <v>563</v>
      </c>
      <c r="G1" s="35" t="s">
        <v>536</v>
      </c>
      <c r="H1" s="7" t="s">
        <v>562</v>
      </c>
      <c r="I1" s="7" t="s">
        <v>537</v>
      </c>
      <c r="J1" s="7" t="s">
        <v>538</v>
      </c>
    </row>
    <row r="2" spans="1:11" s="7" customFormat="1" x14ac:dyDescent="0.25">
      <c r="A2" s="7" t="s">
        <v>79</v>
      </c>
      <c r="B2" s="22" t="s">
        <v>85</v>
      </c>
      <c r="C2" s="28" t="s">
        <v>533</v>
      </c>
      <c r="D2" s="7" t="s">
        <v>199</v>
      </c>
      <c r="E2" s="7" t="s">
        <v>540</v>
      </c>
      <c r="F2" s="7" t="s">
        <v>200</v>
      </c>
      <c r="G2" s="35" t="s">
        <v>159</v>
      </c>
      <c r="H2" s="7" t="s">
        <v>249</v>
      </c>
      <c r="I2" s="7" t="s">
        <v>370</v>
      </c>
      <c r="J2" s="7" t="s">
        <v>284</v>
      </c>
    </row>
    <row r="4" spans="1:11" x14ac:dyDescent="0.25">
      <c r="B4" s="23" t="s">
        <v>274</v>
      </c>
    </row>
    <row r="5" spans="1:11" s="6" customFormat="1" x14ac:dyDescent="0.25">
      <c r="A5" s="6">
        <v>1</v>
      </c>
      <c r="B5" s="23" t="s">
        <v>104</v>
      </c>
      <c r="C5" s="30">
        <v>1</v>
      </c>
      <c r="D5" s="6" t="s">
        <v>201</v>
      </c>
      <c r="F5" s="6">
        <v>30</v>
      </c>
      <c r="G5" s="36">
        <v>1</v>
      </c>
      <c r="I5" s="6" t="s">
        <v>371</v>
      </c>
      <c r="K5" s="18"/>
    </row>
    <row r="6" spans="1:11" x14ac:dyDescent="0.25">
      <c r="A6" s="6">
        <v>2</v>
      </c>
      <c r="B6" s="23" t="s">
        <v>107</v>
      </c>
      <c r="C6" s="30">
        <v>2</v>
      </c>
      <c r="D6" s="6" t="s">
        <v>202</v>
      </c>
      <c r="F6" s="6"/>
      <c r="G6" s="36">
        <v>1</v>
      </c>
      <c r="H6" s="6"/>
      <c r="I6" s="6" t="s">
        <v>371</v>
      </c>
      <c r="J6" s="6"/>
    </row>
    <row r="7" spans="1:11" x14ac:dyDescent="0.25">
      <c r="A7" s="6">
        <v>3</v>
      </c>
      <c r="B7" s="23" t="s">
        <v>100</v>
      </c>
      <c r="C7" s="30">
        <v>3</v>
      </c>
      <c r="D7" s="6" t="s">
        <v>202</v>
      </c>
      <c r="F7" s="6"/>
      <c r="G7" s="36">
        <v>1</v>
      </c>
      <c r="H7" s="6"/>
      <c r="I7" s="6" t="s">
        <v>371</v>
      </c>
      <c r="J7" s="6"/>
    </row>
    <row r="8" spans="1:11" x14ac:dyDescent="0.25">
      <c r="A8" s="6">
        <v>4</v>
      </c>
      <c r="B8" s="23" t="s">
        <v>108</v>
      </c>
      <c r="C8" s="30">
        <v>4</v>
      </c>
      <c r="D8" s="6" t="s">
        <v>202</v>
      </c>
      <c r="F8" s="6"/>
      <c r="G8" s="36">
        <v>1</v>
      </c>
      <c r="H8" s="6"/>
      <c r="I8" s="6" t="s">
        <v>371</v>
      </c>
      <c r="J8" s="6"/>
    </row>
    <row r="9" spans="1:11" x14ac:dyDescent="0.25">
      <c r="A9" s="6">
        <v>5</v>
      </c>
      <c r="B9" s="23" t="s">
        <v>106</v>
      </c>
      <c r="C9" s="30">
        <v>5</v>
      </c>
      <c r="D9" s="6" t="s">
        <v>202</v>
      </c>
      <c r="F9" s="6"/>
      <c r="G9" s="36">
        <v>1</v>
      </c>
      <c r="H9" s="6"/>
      <c r="I9" s="6" t="s">
        <v>371</v>
      </c>
      <c r="J9" s="6"/>
    </row>
    <row r="10" spans="1:11" x14ac:dyDescent="0.25">
      <c r="A10" s="6">
        <v>6</v>
      </c>
      <c r="B10" s="23" t="s">
        <v>101</v>
      </c>
      <c r="C10" s="30">
        <v>6</v>
      </c>
      <c r="D10" s="6" t="s">
        <v>201</v>
      </c>
      <c r="F10" s="6">
        <v>30</v>
      </c>
      <c r="G10" s="36">
        <v>1</v>
      </c>
      <c r="H10" s="6"/>
      <c r="I10" s="6" t="s">
        <v>371</v>
      </c>
      <c r="J10" s="6"/>
    </row>
    <row r="11" spans="1:11" x14ac:dyDescent="0.25">
      <c r="A11" s="6">
        <v>7</v>
      </c>
      <c r="B11" s="23" t="s">
        <v>109</v>
      </c>
      <c r="C11" s="30">
        <v>7</v>
      </c>
      <c r="D11" s="6" t="s">
        <v>202</v>
      </c>
      <c r="F11" s="6"/>
      <c r="G11" s="36">
        <v>1</v>
      </c>
      <c r="H11" s="6"/>
      <c r="I11" s="6" t="s">
        <v>371</v>
      </c>
      <c r="J11" s="6"/>
    </row>
    <row r="12" spans="1:11" x14ac:dyDescent="0.25">
      <c r="A12" s="6">
        <v>8</v>
      </c>
      <c r="B12" s="23" t="s">
        <v>102</v>
      </c>
      <c r="C12" s="30">
        <v>8</v>
      </c>
      <c r="D12" s="6" t="s">
        <v>201</v>
      </c>
      <c r="F12" s="6">
        <v>30</v>
      </c>
      <c r="G12" s="36">
        <v>1</v>
      </c>
      <c r="H12" s="6"/>
      <c r="I12" s="6" t="s">
        <v>371</v>
      </c>
      <c r="J12" s="6"/>
    </row>
    <row r="13" spans="1:11" x14ac:dyDescent="0.25">
      <c r="A13" s="6">
        <v>9</v>
      </c>
      <c r="B13" s="23" t="s">
        <v>103</v>
      </c>
      <c r="C13" s="30">
        <v>9</v>
      </c>
      <c r="D13" s="6" t="s">
        <v>201</v>
      </c>
      <c r="F13" s="6">
        <v>30</v>
      </c>
      <c r="G13" s="36">
        <v>1</v>
      </c>
      <c r="H13" s="6"/>
      <c r="I13" s="6" t="s">
        <v>371</v>
      </c>
      <c r="J13" s="6"/>
    </row>
    <row r="14" spans="1:11" x14ac:dyDescent="0.25">
      <c r="A14" s="6">
        <v>10</v>
      </c>
      <c r="B14" s="23" t="s">
        <v>105</v>
      </c>
      <c r="C14" s="30">
        <v>10</v>
      </c>
      <c r="D14" s="6" t="s">
        <v>202</v>
      </c>
      <c r="F14" s="6"/>
      <c r="G14" s="36">
        <v>1</v>
      </c>
      <c r="H14" s="6"/>
      <c r="I14" s="6" t="s">
        <v>371</v>
      </c>
      <c r="J14" s="6"/>
    </row>
    <row r="16" spans="1:11" s="6" customFormat="1" x14ac:dyDescent="0.25">
      <c r="B16" s="23" t="s">
        <v>273</v>
      </c>
      <c r="C16" s="30"/>
      <c r="G16" s="36"/>
      <c r="K16" s="18"/>
    </row>
    <row r="17" spans="1:11" s="6" customFormat="1" x14ac:dyDescent="0.25">
      <c r="A17" s="6">
        <v>1001</v>
      </c>
      <c r="B17" s="23" t="s">
        <v>276</v>
      </c>
      <c r="C17" s="30">
        <v>1001</v>
      </c>
      <c r="D17" s="6" t="s">
        <v>201</v>
      </c>
      <c r="F17" s="6">
        <v>30</v>
      </c>
      <c r="G17" s="36">
        <v>3</v>
      </c>
      <c r="I17" s="6" t="s">
        <v>371</v>
      </c>
      <c r="K17" s="18"/>
    </row>
    <row r="18" spans="1:11" s="6" customFormat="1" x14ac:dyDescent="0.25">
      <c r="A18" s="6">
        <v>1002</v>
      </c>
      <c r="B18" s="23" t="s">
        <v>250</v>
      </c>
      <c r="C18" s="30">
        <v>1002</v>
      </c>
      <c r="D18" s="6" t="s">
        <v>201</v>
      </c>
      <c r="F18" s="6">
        <v>30</v>
      </c>
      <c r="G18" s="36">
        <v>3</v>
      </c>
      <c r="I18" s="6" t="s">
        <v>371</v>
      </c>
      <c r="K18" s="18"/>
    </row>
    <row r="19" spans="1:11" s="6" customFormat="1" x14ac:dyDescent="0.25">
      <c r="A19" s="6">
        <v>1003</v>
      </c>
      <c r="B19" s="23" t="s">
        <v>277</v>
      </c>
      <c r="C19" s="30">
        <v>1003</v>
      </c>
      <c r="D19" s="6" t="s">
        <v>201</v>
      </c>
      <c r="F19" s="6">
        <v>50</v>
      </c>
      <c r="G19" s="36">
        <v>3</v>
      </c>
      <c r="I19" s="6" t="s">
        <v>371</v>
      </c>
      <c r="K19" s="18"/>
    </row>
    <row r="20" spans="1:11" s="6" customFormat="1" x14ac:dyDescent="0.25">
      <c r="A20" s="6">
        <v>1004</v>
      </c>
      <c r="B20" s="23" t="s">
        <v>278</v>
      </c>
      <c r="C20" s="30">
        <v>1004</v>
      </c>
      <c r="D20" s="6" t="s">
        <v>202</v>
      </c>
      <c r="F20" s="6">
        <v>5</v>
      </c>
      <c r="G20" s="36">
        <v>3</v>
      </c>
      <c r="I20" s="6" t="s">
        <v>371</v>
      </c>
      <c r="K20" s="18"/>
    </row>
    <row r="21" spans="1:11" s="6" customFormat="1" x14ac:dyDescent="0.25">
      <c r="A21" s="6">
        <v>1005</v>
      </c>
      <c r="B21" s="23" t="s">
        <v>279</v>
      </c>
      <c r="C21" s="30">
        <v>1005</v>
      </c>
      <c r="D21" s="6" t="s">
        <v>202</v>
      </c>
      <c r="F21" s="6">
        <v>10</v>
      </c>
      <c r="G21" s="36">
        <v>2</v>
      </c>
      <c r="I21" s="6" t="s">
        <v>371</v>
      </c>
      <c r="K21" s="18"/>
    </row>
    <row r="22" spans="1:11" s="6" customFormat="1" x14ac:dyDescent="0.25">
      <c r="A22" s="6">
        <v>1006</v>
      </c>
      <c r="B22" s="23" t="s">
        <v>615</v>
      </c>
      <c r="C22" s="30">
        <v>1006</v>
      </c>
      <c r="D22" s="6" t="s">
        <v>202</v>
      </c>
      <c r="F22" s="6">
        <v>10</v>
      </c>
      <c r="G22" s="36">
        <v>2</v>
      </c>
      <c r="I22" s="6" t="s">
        <v>371</v>
      </c>
      <c r="K22" s="18"/>
    </row>
    <row r="23" spans="1:11" s="6" customFormat="1" x14ac:dyDescent="0.25">
      <c r="A23" s="6">
        <v>1007</v>
      </c>
      <c r="B23" s="23" t="s">
        <v>280</v>
      </c>
      <c r="C23" s="30">
        <v>1007</v>
      </c>
      <c r="D23" s="6" t="s">
        <v>202</v>
      </c>
      <c r="G23" s="36">
        <v>1</v>
      </c>
      <c r="I23" s="6" t="s">
        <v>371</v>
      </c>
      <c r="K23" s="18"/>
    </row>
    <row r="24" spans="1:11" s="6" customFormat="1" x14ac:dyDescent="0.25">
      <c r="A24" s="6">
        <v>1008</v>
      </c>
      <c r="B24" s="23" t="s">
        <v>281</v>
      </c>
      <c r="C24" s="30">
        <v>1008</v>
      </c>
      <c r="D24" s="6" t="s">
        <v>202</v>
      </c>
      <c r="F24" s="6">
        <v>15</v>
      </c>
      <c r="G24" s="36">
        <v>1</v>
      </c>
      <c r="I24" s="6" t="s">
        <v>371</v>
      </c>
      <c r="K24" s="18"/>
    </row>
    <row r="25" spans="1:11" s="6" customFormat="1" x14ac:dyDescent="0.25">
      <c r="A25" s="6">
        <v>1009</v>
      </c>
      <c r="B25" s="23" t="s">
        <v>282</v>
      </c>
      <c r="C25" s="30">
        <v>1009</v>
      </c>
      <c r="D25" s="6" t="s">
        <v>202</v>
      </c>
      <c r="G25" s="36">
        <v>1</v>
      </c>
      <c r="I25" s="6" t="s">
        <v>371</v>
      </c>
      <c r="K25" s="18"/>
    </row>
    <row r="26" spans="1:11" s="6" customFormat="1" x14ac:dyDescent="0.25">
      <c r="A26" s="6">
        <v>1010</v>
      </c>
      <c r="B26" s="23" t="s">
        <v>283</v>
      </c>
      <c r="C26" s="30">
        <v>1010</v>
      </c>
      <c r="D26" s="6" t="s">
        <v>201</v>
      </c>
      <c r="F26" s="6">
        <v>30</v>
      </c>
      <c r="G26" s="36">
        <v>1</v>
      </c>
      <c r="I26" s="6" t="s">
        <v>371</v>
      </c>
      <c r="K26" s="18"/>
    </row>
    <row r="27" spans="1:11" s="6" customFormat="1" x14ac:dyDescent="0.25">
      <c r="B27" s="23"/>
      <c r="C27" s="30"/>
      <c r="G27" s="36"/>
      <c r="K27" s="18"/>
    </row>
    <row r="28" spans="1:11" s="6" customFormat="1" x14ac:dyDescent="0.25">
      <c r="A28" s="6">
        <v>1011</v>
      </c>
      <c r="B28" s="23" t="s">
        <v>277</v>
      </c>
      <c r="C28" s="30">
        <v>1003</v>
      </c>
      <c r="D28" s="6" t="s">
        <v>202</v>
      </c>
      <c r="F28" s="6">
        <v>30</v>
      </c>
      <c r="G28" s="36">
        <v>1</v>
      </c>
      <c r="I28" s="6" t="s">
        <v>371</v>
      </c>
      <c r="K28" s="18"/>
    </row>
    <row r="29" spans="1:11" s="6" customFormat="1" x14ac:dyDescent="0.25">
      <c r="A29" s="6">
        <v>1012</v>
      </c>
      <c r="B29" s="23" t="s">
        <v>277</v>
      </c>
      <c r="C29" s="30">
        <v>1003</v>
      </c>
      <c r="D29" s="6" t="s">
        <v>202</v>
      </c>
      <c r="F29" s="6">
        <v>30</v>
      </c>
      <c r="G29" s="36">
        <v>1</v>
      </c>
      <c r="I29" s="6" t="s">
        <v>371</v>
      </c>
      <c r="K29" s="18"/>
    </row>
    <row r="30" spans="1:11" s="6" customFormat="1" x14ac:dyDescent="0.25">
      <c r="A30" s="6">
        <v>1013</v>
      </c>
      <c r="B30" s="23" t="s">
        <v>277</v>
      </c>
      <c r="C30" s="30">
        <v>1003</v>
      </c>
      <c r="D30" s="6" t="s">
        <v>202</v>
      </c>
      <c r="F30" s="6">
        <v>30</v>
      </c>
      <c r="G30" s="36">
        <v>1</v>
      </c>
      <c r="I30" s="6" t="s">
        <v>371</v>
      </c>
      <c r="K30" s="18"/>
    </row>
    <row r="31" spans="1:11" s="6" customFormat="1" x14ac:dyDescent="0.25">
      <c r="A31" s="6">
        <v>1014</v>
      </c>
      <c r="B31" s="23" t="s">
        <v>277</v>
      </c>
      <c r="C31" s="30">
        <v>1003</v>
      </c>
      <c r="D31" s="6" t="s">
        <v>202</v>
      </c>
      <c r="F31" s="6">
        <v>30</v>
      </c>
      <c r="G31" s="36">
        <v>1</v>
      </c>
      <c r="I31" s="6" t="s">
        <v>371</v>
      </c>
      <c r="K31" s="18"/>
    </row>
    <row r="32" spans="1:11" s="6" customFormat="1" x14ac:dyDescent="0.25">
      <c r="A32" s="6">
        <v>1015</v>
      </c>
      <c r="B32" s="23" t="s">
        <v>277</v>
      </c>
      <c r="C32" s="30">
        <v>1003</v>
      </c>
      <c r="D32" s="6" t="s">
        <v>202</v>
      </c>
      <c r="F32" s="6">
        <v>30</v>
      </c>
      <c r="G32" s="36">
        <v>1</v>
      </c>
      <c r="I32" s="6" t="s">
        <v>371</v>
      </c>
      <c r="K32" s="18"/>
    </row>
    <row r="33" spans="1:18" s="6" customFormat="1" x14ac:dyDescent="0.25">
      <c r="A33" s="6">
        <v>1016</v>
      </c>
      <c r="B33" s="23" t="s">
        <v>277</v>
      </c>
      <c r="C33" s="30">
        <v>1003</v>
      </c>
      <c r="D33" s="6" t="s">
        <v>202</v>
      </c>
      <c r="F33" s="6">
        <v>30</v>
      </c>
      <c r="G33" s="36">
        <v>1</v>
      </c>
      <c r="I33" s="6" t="s">
        <v>371</v>
      </c>
      <c r="K33" s="18"/>
    </row>
    <row r="35" spans="1:18" s="6" customFormat="1" x14ac:dyDescent="0.25">
      <c r="B35" s="23" t="s">
        <v>310</v>
      </c>
      <c r="C35" s="30"/>
      <c r="G35" s="36"/>
      <c r="K35" s="18"/>
    </row>
    <row r="36" spans="1:18" s="6" customFormat="1" x14ac:dyDescent="0.25">
      <c r="B36" s="23" t="s">
        <v>349</v>
      </c>
      <c r="C36" s="30"/>
      <c r="G36" s="36"/>
      <c r="K36" s="18"/>
      <c r="P36" s="23"/>
      <c r="Q36" s="23"/>
    </row>
    <row r="37" spans="1:18" s="24" customFormat="1" x14ac:dyDescent="0.25">
      <c r="A37" s="24">
        <v>10001</v>
      </c>
      <c r="B37" s="25" t="s">
        <v>285</v>
      </c>
      <c r="C37" s="31">
        <v>10001</v>
      </c>
      <c r="D37" s="24" t="s">
        <v>201</v>
      </c>
      <c r="E37" s="24">
        <v>10</v>
      </c>
      <c r="G37" s="37">
        <v>1</v>
      </c>
      <c r="I37" s="24" t="s">
        <v>286</v>
      </c>
      <c r="J37" s="24" t="s">
        <v>287</v>
      </c>
      <c r="K37" s="26" t="s">
        <v>316</v>
      </c>
      <c r="N37" s="25"/>
      <c r="O37" s="25"/>
      <c r="P37" s="25"/>
      <c r="Q37" s="26"/>
      <c r="R37" s="26"/>
    </row>
    <row r="38" spans="1:18" s="24" customFormat="1" x14ac:dyDescent="0.25">
      <c r="A38" s="24">
        <v>10002</v>
      </c>
      <c r="B38" s="25" t="s">
        <v>307</v>
      </c>
      <c r="C38" s="31">
        <v>10002</v>
      </c>
      <c r="D38" s="24" t="s">
        <v>202</v>
      </c>
      <c r="E38" s="24">
        <v>10</v>
      </c>
      <c r="G38" s="37"/>
      <c r="I38" s="24" t="s">
        <v>373</v>
      </c>
      <c r="J38" s="24" t="s">
        <v>287</v>
      </c>
      <c r="K38" s="26" t="s">
        <v>298</v>
      </c>
      <c r="N38" s="25"/>
      <c r="O38" s="25"/>
      <c r="P38" s="25"/>
      <c r="Q38" s="26"/>
      <c r="R38" s="26"/>
    </row>
    <row r="39" spans="1:18" s="24" customFormat="1" x14ac:dyDescent="0.25">
      <c r="A39" s="24">
        <v>10003</v>
      </c>
      <c r="B39" s="25" t="s">
        <v>302</v>
      </c>
      <c r="C39" s="31">
        <v>10003</v>
      </c>
      <c r="D39" s="24" t="s">
        <v>202</v>
      </c>
      <c r="E39" s="24">
        <v>10</v>
      </c>
      <c r="G39" s="37"/>
      <c r="I39" s="24" t="s">
        <v>373</v>
      </c>
      <c r="J39" s="24" t="s">
        <v>287</v>
      </c>
      <c r="K39" s="26" t="s">
        <v>575</v>
      </c>
      <c r="O39" s="25"/>
      <c r="P39" s="25"/>
      <c r="Q39" s="26"/>
      <c r="R39" s="26"/>
    </row>
    <row r="40" spans="1:18" s="6" customFormat="1" x14ac:dyDescent="0.25">
      <c r="A40" s="6">
        <v>10004</v>
      </c>
      <c r="B40" s="23" t="s">
        <v>306</v>
      </c>
      <c r="C40" s="30">
        <v>10004</v>
      </c>
      <c r="D40" s="6" t="s">
        <v>295</v>
      </c>
      <c r="E40" s="6">
        <v>10</v>
      </c>
      <c r="G40" s="36"/>
      <c r="I40" s="6" t="s">
        <v>373</v>
      </c>
      <c r="J40" s="6" t="s">
        <v>287</v>
      </c>
      <c r="K40" s="18" t="s">
        <v>440</v>
      </c>
      <c r="O40" s="23"/>
      <c r="P40" s="23"/>
      <c r="Q40" s="18"/>
      <c r="R40" s="18"/>
    </row>
    <row r="41" spans="1:18" s="6" customFormat="1" x14ac:dyDescent="0.25">
      <c r="A41" s="6">
        <v>10005</v>
      </c>
      <c r="B41" s="23" t="s">
        <v>300</v>
      </c>
      <c r="C41" s="30">
        <v>10005</v>
      </c>
      <c r="D41" s="6" t="s">
        <v>295</v>
      </c>
      <c r="E41" s="6">
        <v>10</v>
      </c>
      <c r="G41" s="36"/>
      <c r="I41" s="6" t="s">
        <v>373</v>
      </c>
      <c r="J41" s="6" t="s">
        <v>287</v>
      </c>
      <c r="K41" s="18" t="s">
        <v>321</v>
      </c>
      <c r="N41" s="23"/>
      <c r="O41" s="23"/>
      <c r="P41" s="23"/>
      <c r="Q41" s="18"/>
      <c r="R41" s="18"/>
    </row>
    <row r="42" spans="1:18" s="6" customFormat="1" x14ac:dyDescent="0.25">
      <c r="A42" s="6">
        <v>10006</v>
      </c>
      <c r="B42" s="23" t="s">
        <v>299</v>
      </c>
      <c r="C42" s="30">
        <v>10006</v>
      </c>
      <c r="D42" s="6" t="s">
        <v>295</v>
      </c>
      <c r="E42" s="6">
        <v>10</v>
      </c>
      <c r="G42" s="36"/>
      <c r="I42" s="6" t="s">
        <v>373</v>
      </c>
      <c r="J42" s="6" t="s">
        <v>287</v>
      </c>
      <c r="K42" s="18" t="s">
        <v>322</v>
      </c>
      <c r="N42" s="23"/>
      <c r="O42" s="23"/>
      <c r="P42" s="23"/>
      <c r="Q42" s="18"/>
      <c r="R42" s="18"/>
    </row>
    <row r="43" spans="1:18" s="6" customFormat="1" x14ac:dyDescent="0.25">
      <c r="A43" s="6">
        <v>10007</v>
      </c>
      <c r="B43" s="23" t="s">
        <v>305</v>
      </c>
      <c r="C43" s="30">
        <v>10007</v>
      </c>
      <c r="D43" s="6" t="s">
        <v>295</v>
      </c>
      <c r="E43" s="6">
        <v>10</v>
      </c>
      <c r="G43" s="36"/>
      <c r="I43" s="6" t="s">
        <v>373</v>
      </c>
      <c r="J43" s="6" t="s">
        <v>287</v>
      </c>
      <c r="K43" s="18" t="s">
        <v>301</v>
      </c>
      <c r="O43" s="23"/>
      <c r="P43" s="23"/>
      <c r="Q43" s="18"/>
      <c r="R43" s="18"/>
    </row>
    <row r="44" spans="1:18" s="6" customFormat="1" x14ac:dyDescent="0.25">
      <c r="A44" s="6">
        <v>10008</v>
      </c>
      <c r="B44" s="23" t="s">
        <v>303</v>
      </c>
      <c r="C44" s="30">
        <v>10008</v>
      </c>
      <c r="D44" s="6" t="s">
        <v>202</v>
      </c>
      <c r="E44" s="6">
        <v>10</v>
      </c>
      <c r="G44" s="36">
        <v>1</v>
      </c>
      <c r="I44" s="6" t="s">
        <v>373</v>
      </c>
      <c r="J44" s="6" t="s">
        <v>287</v>
      </c>
      <c r="K44" s="18" t="s">
        <v>304</v>
      </c>
      <c r="O44" s="23"/>
      <c r="P44" s="23"/>
      <c r="Q44" s="18"/>
      <c r="R44" s="18"/>
    </row>
    <row r="45" spans="1:18" s="6" customFormat="1" x14ac:dyDescent="0.25">
      <c r="A45" s="6">
        <v>10009</v>
      </c>
      <c r="B45" s="23" t="s">
        <v>308</v>
      </c>
      <c r="C45" s="30">
        <v>10009</v>
      </c>
      <c r="D45" s="6" t="s">
        <v>202</v>
      </c>
      <c r="E45" s="6">
        <v>10</v>
      </c>
      <c r="G45" s="36"/>
      <c r="I45" s="6" t="s">
        <v>373</v>
      </c>
      <c r="J45" s="6" t="s">
        <v>287</v>
      </c>
      <c r="K45" s="18" t="s">
        <v>314</v>
      </c>
      <c r="O45" s="23"/>
      <c r="P45" s="23"/>
      <c r="Q45" s="18"/>
      <c r="R45" s="18"/>
    </row>
    <row r="46" spans="1:18" s="6" customFormat="1" x14ac:dyDescent="0.25">
      <c r="A46" s="6">
        <v>10010</v>
      </c>
      <c r="B46" s="23" t="s">
        <v>309</v>
      </c>
      <c r="C46" s="30">
        <v>10010</v>
      </c>
      <c r="D46" s="6" t="s">
        <v>202</v>
      </c>
      <c r="E46" s="6">
        <v>10</v>
      </c>
      <c r="G46" s="36"/>
      <c r="I46" s="6" t="s">
        <v>373</v>
      </c>
      <c r="J46" s="6" t="s">
        <v>287</v>
      </c>
      <c r="K46" s="18" t="s">
        <v>315</v>
      </c>
      <c r="O46" s="23"/>
      <c r="P46" s="23"/>
      <c r="Q46" s="18"/>
      <c r="R46" s="18"/>
    </row>
    <row r="47" spans="1:18" s="6" customFormat="1" x14ac:dyDescent="0.25">
      <c r="A47" s="6">
        <v>10011</v>
      </c>
      <c r="B47" s="23" t="s">
        <v>318</v>
      </c>
      <c r="C47" s="30">
        <v>10011</v>
      </c>
      <c r="D47" s="6" t="s">
        <v>202</v>
      </c>
      <c r="E47" s="6">
        <v>10</v>
      </c>
      <c r="G47" s="36"/>
      <c r="I47" s="6" t="s">
        <v>373</v>
      </c>
      <c r="J47" s="6" t="s">
        <v>287</v>
      </c>
      <c r="K47" s="18" t="s">
        <v>319</v>
      </c>
      <c r="P47" s="23"/>
      <c r="Q47" s="18"/>
      <c r="R47" s="18"/>
    </row>
    <row r="48" spans="1:18" s="6" customFormat="1" x14ac:dyDescent="0.25">
      <c r="B48" s="23"/>
      <c r="C48" s="30"/>
      <c r="E48" s="6">
        <v>10</v>
      </c>
      <c r="G48" s="36"/>
      <c r="K48" s="18"/>
      <c r="Q48" s="23"/>
      <c r="R48" s="18"/>
    </row>
    <row r="49" spans="1:18" s="6" customFormat="1" x14ac:dyDescent="0.25">
      <c r="B49" s="23" t="s">
        <v>348</v>
      </c>
      <c r="C49" s="30"/>
      <c r="E49" s="6">
        <v>10</v>
      </c>
      <c r="G49" s="36"/>
      <c r="K49" s="18"/>
      <c r="P49" s="23"/>
      <c r="Q49" s="23"/>
      <c r="R49" s="18"/>
    </row>
    <row r="50" spans="1:18" s="24" customFormat="1" x14ac:dyDescent="0.25">
      <c r="A50" s="24">
        <v>10101</v>
      </c>
      <c r="B50" s="25" t="s">
        <v>275</v>
      </c>
      <c r="C50" s="31">
        <v>10101</v>
      </c>
      <c r="D50" s="24" t="s">
        <v>295</v>
      </c>
      <c r="E50" s="24">
        <v>10</v>
      </c>
      <c r="G50" s="37"/>
      <c r="I50" s="24" t="s">
        <v>373</v>
      </c>
      <c r="J50" s="24" t="s">
        <v>289</v>
      </c>
      <c r="K50" s="26" t="s">
        <v>327</v>
      </c>
      <c r="N50" s="25"/>
      <c r="O50" s="26"/>
      <c r="P50" s="25"/>
      <c r="Q50" s="26"/>
    </row>
    <row r="51" spans="1:18" s="24" customFormat="1" x14ac:dyDescent="0.25">
      <c r="A51" s="24">
        <v>10102</v>
      </c>
      <c r="B51" s="25" t="s">
        <v>311</v>
      </c>
      <c r="C51" s="31">
        <v>10102</v>
      </c>
      <c r="D51" s="24" t="s">
        <v>202</v>
      </c>
      <c r="E51" s="24">
        <v>10</v>
      </c>
      <c r="G51" s="37"/>
      <c r="I51" s="24" t="s">
        <v>373</v>
      </c>
      <c r="J51" s="24" t="s">
        <v>289</v>
      </c>
      <c r="K51" s="26" t="s">
        <v>593</v>
      </c>
      <c r="N51" s="25"/>
      <c r="O51" s="26"/>
      <c r="P51" s="25"/>
      <c r="Q51" s="26"/>
    </row>
    <row r="52" spans="1:18" s="24" customFormat="1" x14ac:dyDescent="0.25">
      <c r="A52" s="24">
        <v>10103</v>
      </c>
      <c r="B52" s="25" t="s">
        <v>324</v>
      </c>
      <c r="C52" s="31">
        <v>10103</v>
      </c>
      <c r="D52" s="24" t="s">
        <v>202</v>
      </c>
      <c r="E52" s="24">
        <v>10</v>
      </c>
      <c r="G52" s="37"/>
      <c r="I52" s="24" t="s">
        <v>373</v>
      </c>
      <c r="J52" s="24" t="s">
        <v>289</v>
      </c>
      <c r="K52" s="26" t="s">
        <v>532</v>
      </c>
      <c r="P52" s="25"/>
      <c r="Q52" s="26"/>
    </row>
    <row r="53" spans="1:18" s="6" customFormat="1" x14ac:dyDescent="0.25">
      <c r="A53" s="6">
        <v>10104</v>
      </c>
      <c r="B53" s="23" t="s">
        <v>323</v>
      </c>
      <c r="C53" s="30">
        <v>10104</v>
      </c>
      <c r="D53" s="6" t="s">
        <v>202</v>
      </c>
      <c r="E53" s="6">
        <v>10</v>
      </c>
      <c r="G53" s="36"/>
      <c r="I53" s="6" t="s">
        <v>373</v>
      </c>
      <c r="J53" s="6" t="s">
        <v>289</v>
      </c>
      <c r="K53" s="18" t="s">
        <v>476</v>
      </c>
      <c r="N53" s="23"/>
      <c r="O53" s="18"/>
      <c r="P53" s="23"/>
      <c r="Q53" s="18"/>
    </row>
    <row r="54" spans="1:18" s="6" customFormat="1" x14ac:dyDescent="0.25">
      <c r="A54" s="6">
        <v>10105</v>
      </c>
      <c r="B54" s="23" t="s">
        <v>330</v>
      </c>
      <c r="C54" s="30">
        <v>10105</v>
      </c>
      <c r="D54" s="6" t="s">
        <v>202</v>
      </c>
      <c r="E54" s="6">
        <v>10</v>
      </c>
      <c r="G54" s="36"/>
      <c r="I54" s="6" t="s">
        <v>373</v>
      </c>
      <c r="J54" s="6" t="s">
        <v>289</v>
      </c>
      <c r="K54" s="18" t="s">
        <v>479</v>
      </c>
      <c r="N54" s="23"/>
      <c r="O54" s="18"/>
      <c r="P54" s="23"/>
      <c r="Q54" s="18"/>
    </row>
    <row r="55" spans="1:18" s="6" customFormat="1" x14ac:dyDescent="0.25">
      <c r="A55" s="6">
        <v>10106</v>
      </c>
      <c r="B55" s="23" t="s">
        <v>313</v>
      </c>
      <c r="C55" s="30">
        <v>10106</v>
      </c>
      <c r="D55" s="6" t="s">
        <v>202</v>
      </c>
      <c r="E55" s="6">
        <v>10</v>
      </c>
      <c r="G55" s="36"/>
      <c r="I55" s="6" t="s">
        <v>373</v>
      </c>
      <c r="J55" s="6" t="s">
        <v>289</v>
      </c>
      <c r="K55" s="18" t="s">
        <v>595</v>
      </c>
      <c r="P55" s="23"/>
      <c r="Q55" s="18"/>
    </row>
    <row r="56" spans="1:18" s="6" customFormat="1" x14ac:dyDescent="0.25">
      <c r="A56" s="6">
        <v>10107</v>
      </c>
      <c r="B56" s="23" t="s">
        <v>317</v>
      </c>
      <c r="C56" s="30">
        <v>10107</v>
      </c>
      <c r="D56" s="6" t="s">
        <v>201</v>
      </c>
      <c r="E56" s="6">
        <v>10</v>
      </c>
      <c r="G56" s="36"/>
      <c r="I56" s="6" t="s">
        <v>373</v>
      </c>
      <c r="J56" s="6" t="s">
        <v>289</v>
      </c>
      <c r="K56" s="18" t="s">
        <v>484</v>
      </c>
      <c r="P56" s="23"/>
      <c r="Q56" s="18"/>
    </row>
    <row r="57" spans="1:18" s="6" customFormat="1" x14ac:dyDescent="0.25">
      <c r="A57" s="6">
        <v>10108</v>
      </c>
      <c r="B57" s="23" t="s">
        <v>312</v>
      </c>
      <c r="C57" s="30">
        <v>10108</v>
      </c>
      <c r="D57" s="6" t="s">
        <v>295</v>
      </c>
      <c r="E57" s="6">
        <v>10</v>
      </c>
      <c r="G57" s="36"/>
      <c r="I57" s="6" t="s">
        <v>373</v>
      </c>
      <c r="J57" s="6" t="s">
        <v>289</v>
      </c>
      <c r="K57" s="18" t="s">
        <v>320</v>
      </c>
      <c r="P57" s="23"/>
      <c r="Q57" s="18"/>
    </row>
    <row r="58" spans="1:18" s="6" customFormat="1" x14ac:dyDescent="0.25">
      <c r="A58" s="6">
        <v>10109</v>
      </c>
      <c r="B58" s="23" t="s">
        <v>331</v>
      </c>
      <c r="C58" s="30">
        <v>10109</v>
      </c>
      <c r="D58" s="6" t="s">
        <v>202</v>
      </c>
      <c r="E58" s="6">
        <v>10</v>
      </c>
      <c r="G58" s="36"/>
      <c r="I58" s="6" t="s">
        <v>373</v>
      </c>
      <c r="J58" s="6" t="s">
        <v>289</v>
      </c>
      <c r="K58" s="18" t="s">
        <v>490</v>
      </c>
      <c r="P58" s="23"/>
      <c r="Q58" s="18"/>
    </row>
    <row r="59" spans="1:18" s="6" customFormat="1" x14ac:dyDescent="0.25">
      <c r="A59" s="6">
        <v>10110</v>
      </c>
      <c r="B59" s="23" t="s">
        <v>326</v>
      </c>
      <c r="C59" s="30">
        <v>10110</v>
      </c>
      <c r="D59" s="6" t="s">
        <v>202</v>
      </c>
      <c r="E59" s="6">
        <v>10</v>
      </c>
      <c r="G59" s="36"/>
      <c r="I59" s="6" t="s">
        <v>373</v>
      </c>
      <c r="J59" s="6" t="s">
        <v>289</v>
      </c>
      <c r="K59" s="18" t="s">
        <v>325</v>
      </c>
      <c r="P59" s="23"/>
      <c r="Q59" s="18"/>
    </row>
    <row r="60" spans="1:18" s="6" customFormat="1" x14ac:dyDescent="0.25">
      <c r="B60" s="23"/>
      <c r="C60" s="30"/>
      <c r="E60" s="6">
        <v>10</v>
      </c>
      <c r="G60" s="36"/>
      <c r="K60" s="18"/>
      <c r="Q60" s="23"/>
      <c r="R60" s="18"/>
    </row>
    <row r="61" spans="1:18" s="6" customFormat="1" x14ac:dyDescent="0.25">
      <c r="B61" s="23" t="s">
        <v>346</v>
      </c>
      <c r="C61" s="30"/>
      <c r="E61" s="6">
        <v>10</v>
      </c>
      <c r="G61" s="36"/>
      <c r="K61" s="18"/>
      <c r="P61" s="23"/>
      <c r="Q61" s="23"/>
      <c r="R61" s="18"/>
    </row>
    <row r="62" spans="1:18" s="24" customFormat="1" x14ac:dyDescent="0.25">
      <c r="A62" s="24">
        <v>10201</v>
      </c>
      <c r="B62" s="25" t="s">
        <v>334</v>
      </c>
      <c r="C62" s="31">
        <v>10201</v>
      </c>
      <c r="D62" s="24" t="s">
        <v>295</v>
      </c>
      <c r="E62" s="24">
        <v>10</v>
      </c>
      <c r="G62" s="37"/>
      <c r="I62" s="24" t="s">
        <v>373</v>
      </c>
      <c r="J62" s="24" t="s">
        <v>291</v>
      </c>
      <c r="K62" s="26" t="s">
        <v>603</v>
      </c>
      <c r="N62" s="25"/>
      <c r="O62" s="26"/>
      <c r="P62" s="25"/>
      <c r="Q62" s="26"/>
    </row>
    <row r="63" spans="1:18" s="24" customFormat="1" x14ac:dyDescent="0.25">
      <c r="A63" s="24">
        <v>10202</v>
      </c>
      <c r="B63" s="25" t="s">
        <v>328</v>
      </c>
      <c r="C63" s="31">
        <v>10202</v>
      </c>
      <c r="D63" s="24" t="s">
        <v>295</v>
      </c>
      <c r="E63" s="24">
        <v>10</v>
      </c>
      <c r="G63" s="37"/>
      <c r="I63" s="24" t="s">
        <v>373</v>
      </c>
      <c r="J63" s="24" t="s">
        <v>291</v>
      </c>
      <c r="K63" s="26" t="s">
        <v>329</v>
      </c>
      <c r="N63" s="25"/>
      <c r="O63" s="26"/>
      <c r="P63" s="25"/>
      <c r="Q63" s="26"/>
    </row>
    <row r="64" spans="1:18" s="24" customFormat="1" x14ac:dyDescent="0.25">
      <c r="A64" s="24">
        <v>10203</v>
      </c>
      <c r="B64" s="25" t="s">
        <v>336</v>
      </c>
      <c r="C64" s="31">
        <v>10203</v>
      </c>
      <c r="D64" s="24" t="s">
        <v>201</v>
      </c>
      <c r="E64" s="24">
        <v>10</v>
      </c>
      <c r="G64" s="37"/>
      <c r="I64" s="24" t="s">
        <v>373</v>
      </c>
      <c r="J64" s="24" t="s">
        <v>291</v>
      </c>
      <c r="K64" s="26" t="s">
        <v>339</v>
      </c>
      <c r="P64" s="25"/>
      <c r="Q64" s="26"/>
    </row>
    <row r="65" spans="1:17" s="6" customFormat="1" x14ac:dyDescent="0.25">
      <c r="A65" s="6">
        <v>10204</v>
      </c>
      <c r="B65" s="23" t="s">
        <v>494</v>
      </c>
      <c r="C65" s="30">
        <v>10204</v>
      </c>
      <c r="D65" s="6" t="s">
        <v>202</v>
      </c>
      <c r="E65" s="6">
        <v>10</v>
      </c>
      <c r="G65" s="36"/>
      <c r="I65" s="6" t="s">
        <v>373</v>
      </c>
      <c r="J65" s="6" t="s">
        <v>291</v>
      </c>
      <c r="K65" s="18" t="s">
        <v>332</v>
      </c>
      <c r="N65" s="23"/>
      <c r="O65" s="18"/>
      <c r="P65" s="23"/>
      <c r="Q65" s="18"/>
    </row>
    <row r="66" spans="1:17" s="6" customFormat="1" x14ac:dyDescent="0.25">
      <c r="A66" s="6">
        <v>10205</v>
      </c>
      <c r="B66" s="23" t="s">
        <v>341</v>
      </c>
      <c r="C66" s="30">
        <v>10205</v>
      </c>
      <c r="D66" s="6" t="s">
        <v>202</v>
      </c>
      <c r="E66" s="6">
        <v>10</v>
      </c>
      <c r="G66" s="36"/>
      <c r="I66" s="6" t="s">
        <v>373</v>
      </c>
      <c r="J66" s="6" t="s">
        <v>291</v>
      </c>
      <c r="K66" s="18" t="s">
        <v>362</v>
      </c>
      <c r="N66" s="23"/>
      <c r="O66" s="18"/>
      <c r="P66" s="23"/>
      <c r="Q66" s="18"/>
    </row>
    <row r="67" spans="1:17" s="6" customFormat="1" x14ac:dyDescent="0.25">
      <c r="A67" s="6">
        <v>10206</v>
      </c>
      <c r="B67" s="23" t="s">
        <v>337</v>
      </c>
      <c r="C67" s="30">
        <v>10206</v>
      </c>
      <c r="D67" s="6" t="s">
        <v>295</v>
      </c>
      <c r="E67" s="6">
        <v>10</v>
      </c>
      <c r="G67" s="36"/>
      <c r="I67" s="6" t="s">
        <v>373</v>
      </c>
      <c r="J67" s="6" t="s">
        <v>291</v>
      </c>
      <c r="K67" s="18" t="s">
        <v>338</v>
      </c>
      <c r="P67" s="23"/>
      <c r="Q67" s="18"/>
    </row>
    <row r="68" spans="1:17" s="6" customFormat="1" x14ac:dyDescent="0.25">
      <c r="A68" s="6">
        <v>10207</v>
      </c>
      <c r="B68" s="23" t="s">
        <v>503</v>
      </c>
      <c r="C68" s="30">
        <v>10207</v>
      </c>
      <c r="D68" s="6" t="s">
        <v>295</v>
      </c>
      <c r="E68" s="6">
        <v>10</v>
      </c>
      <c r="G68" s="36"/>
      <c r="I68" s="6" t="s">
        <v>373</v>
      </c>
      <c r="J68" s="6" t="s">
        <v>291</v>
      </c>
      <c r="K68" s="18" t="s">
        <v>495</v>
      </c>
      <c r="P68" s="23"/>
      <c r="Q68" s="18"/>
    </row>
    <row r="69" spans="1:17" s="6" customFormat="1" x14ac:dyDescent="0.25">
      <c r="A69" s="6">
        <v>10208</v>
      </c>
      <c r="B69" s="23" t="s">
        <v>335</v>
      </c>
      <c r="C69" s="30">
        <v>10208</v>
      </c>
      <c r="D69" s="6" t="s">
        <v>295</v>
      </c>
      <c r="E69" s="6">
        <v>10</v>
      </c>
      <c r="G69" s="36"/>
      <c r="I69" s="6" t="s">
        <v>373</v>
      </c>
      <c r="J69" s="6" t="s">
        <v>291</v>
      </c>
      <c r="K69" s="18" t="s">
        <v>340</v>
      </c>
      <c r="P69" s="23"/>
      <c r="Q69" s="18"/>
    </row>
    <row r="70" spans="1:17" s="6" customFormat="1" x14ac:dyDescent="0.25">
      <c r="A70" s="6">
        <v>10209</v>
      </c>
      <c r="B70" s="23" t="s">
        <v>342</v>
      </c>
      <c r="C70" s="30">
        <v>10209</v>
      </c>
      <c r="D70" s="6" t="s">
        <v>295</v>
      </c>
      <c r="E70" s="6">
        <v>10</v>
      </c>
      <c r="G70" s="36"/>
      <c r="I70" s="6" t="s">
        <v>373</v>
      </c>
      <c r="J70" s="6" t="s">
        <v>291</v>
      </c>
      <c r="K70" s="18" t="s">
        <v>343</v>
      </c>
      <c r="P70" s="23"/>
      <c r="Q70" s="18"/>
    </row>
    <row r="71" spans="1:17" s="6" customFormat="1" x14ac:dyDescent="0.25">
      <c r="A71" s="6">
        <v>10210</v>
      </c>
      <c r="B71" s="23" t="s">
        <v>333</v>
      </c>
      <c r="C71" s="30">
        <v>10210</v>
      </c>
      <c r="D71" s="6" t="s">
        <v>201</v>
      </c>
      <c r="E71" s="6">
        <v>10</v>
      </c>
      <c r="G71" s="36"/>
      <c r="I71" s="6" t="s">
        <v>373</v>
      </c>
      <c r="J71" s="6" t="s">
        <v>291</v>
      </c>
      <c r="K71" s="18" t="s">
        <v>344</v>
      </c>
      <c r="P71" s="23"/>
      <c r="Q71" s="18"/>
    </row>
    <row r="72" spans="1:17" s="6" customFormat="1" x14ac:dyDescent="0.25">
      <c r="A72" s="6">
        <v>10211</v>
      </c>
      <c r="B72" s="23" t="s">
        <v>345</v>
      </c>
      <c r="C72" s="30">
        <v>10211</v>
      </c>
      <c r="D72" s="6" t="s">
        <v>201</v>
      </c>
      <c r="E72" s="6">
        <v>10</v>
      </c>
      <c r="G72" s="36"/>
      <c r="I72" s="6" t="s">
        <v>373</v>
      </c>
      <c r="J72" s="6" t="s">
        <v>291</v>
      </c>
      <c r="K72" s="18" t="s">
        <v>509</v>
      </c>
      <c r="P72" s="23"/>
      <c r="Q72" s="18"/>
    </row>
    <row r="73" spans="1:17" s="6" customFormat="1" x14ac:dyDescent="0.25">
      <c r="B73" s="23"/>
      <c r="C73" s="30"/>
      <c r="E73" s="6">
        <v>10</v>
      </c>
      <c r="G73" s="36"/>
      <c r="K73" s="18"/>
      <c r="Q73" s="18"/>
    </row>
    <row r="74" spans="1:17" s="6" customFormat="1" x14ac:dyDescent="0.25">
      <c r="B74" s="23" t="s">
        <v>347</v>
      </c>
      <c r="C74" s="30"/>
      <c r="E74" s="6">
        <v>10</v>
      </c>
      <c r="G74" s="36"/>
      <c r="K74" s="18"/>
      <c r="P74" s="23"/>
      <c r="Q74" s="18"/>
    </row>
    <row r="75" spans="1:17" s="24" customFormat="1" x14ac:dyDescent="0.25">
      <c r="A75" s="24">
        <v>10301</v>
      </c>
      <c r="B75" s="25" t="s">
        <v>350</v>
      </c>
      <c r="C75" s="31">
        <v>10301</v>
      </c>
      <c r="D75" s="24" t="s">
        <v>295</v>
      </c>
      <c r="E75" s="24">
        <v>10</v>
      </c>
      <c r="G75" s="37"/>
      <c r="I75" s="24" t="s">
        <v>373</v>
      </c>
      <c r="J75" s="24" t="s">
        <v>293</v>
      </c>
      <c r="K75" s="26" t="s">
        <v>351</v>
      </c>
      <c r="N75" s="25"/>
      <c r="O75" s="26"/>
      <c r="P75" s="25"/>
      <c r="Q75" s="26"/>
    </row>
    <row r="76" spans="1:17" s="24" customFormat="1" x14ac:dyDescent="0.25">
      <c r="A76" s="24">
        <v>10302</v>
      </c>
      <c r="B76" s="25" t="s">
        <v>360</v>
      </c>
      <c r="C76" s="31">
        <v>10302</v>
      </c>
      <c r="D76" s="24" t="s">
        <v>295</v>
      </c>
      <c r="E76" s="24">
        <v>10</v>
      </c>
      <c r="G76" s="37"/>
      <c r="I76" s="24" t="s">
        <v>373</v>
      </c>
      <c r="J76" s="24" t="s">
        <v>293</v>
      </c>
      <c r="K76" s="26" t="s">
        <v>577</v>
      </c>
    </row>
    <row r="77" spans="1:17" s="24" customFormat="1" x14ac:dyDescent="0.25">
      <c r="A77" s="24">
        <v>10303</v>
      </c>
      <c r="B77" s="25" t="s">
        <v>568</v>
      </c>
      <c r="C77" s="31">
        <v>10303</v>
      </c>
      <c r="D77" s="24" t="s">
        <v>202</v>
      </c>
      <c r="E77" s="24">
        <v>10</v>
      </c>
      <c r="G77" s="37"/>
      <c r="I77" s="24" t="s">
        <v>373</v>
      </c>
      <c r="J77" s="24" t="s">
        <v>293</v>
      </c>
      <c r="K77" s="26" t="s">
        <v>353</v>
      </c>
      <c r="N77" s="25"/>
      <c r="O77" s="26"/>
      <c r="P77" s="25"/>
      <c r="Q77" s="26"/>
    </row>
    <row r="78" spans="1:17" s="6" customFormat="1" x14ac:dyDescent="0.25">
      <c r="A78" s="6">
        <v>10304</v>
      </c>
      <c r="B78" s="23" t="s">
        <v>573</v>
      </c>
      <c r="C78" s="30">
        <v>10304</v>
      </c>
      <c r="D78" s="6" t="s">
        <v>202</v>
      </c>
      <c r="E78" s="6">
        <v>10</v>
      </c>
      <c r="G78" s="36"/>
      <c r="I78" s="6" t="s">
        <v>373</v>
      </c>
      <c r="J78" s="6" t="s">
        <v>293</v>
      </c>
      <c r="K78" s="18" t="s">
        <v>574</v>
      </c>
      <c r="P78" s="23"/>
      <c r="Q78" s="18"/>
    </row>
    <row r="79" spans="1:17" s="6" customFormat="1" x14ac:dyDescent="0.25">
      <c r="A79" s="6">
        <v>10305</v>
      </c>
      <c r="B79" s="23" t="s">
        <v>354</v>
      </c>
      <c r="C79" s="30">
        <v>10305</v>
      </c>
      <c r="D79" s="6" t="s">
        <v>295</v>
      </c>
      <c r="E79" s="6">
        <v>10</v>
      </c>
      <c r="G79" s="36"/>
      <c r="I79" s="6" t="s">
        <v>373</v>
      </c>
      <c r="J79" s="6" t="s">
        <v>293</v>
      </c>
      <c r="K79" s="18" t="s">
        <v>355</v>
      </c>
      <c r="P79" s="23"/>
      <c r="Q79" s="18"/>
    </row>
    <row r="80" spans="1:17" s="6" customFormat="1" x14ac:dyDescent="0.25">
      <c r="A80" s="6">
        <v>10306</v>
      </c>
      <c r="B80" s="23" t="s">
        <v>352</v>
      </c>
      <c r="C80" s="30">
        <v>10306</v>
      </c>
      <c r="D80" s="6" t="s">
        <v>202</v>
      </c>
      <c r="E80" s="6">
        <v>10</v>
      </c>
      <c r="G80" s="36"/>
      <c r="I80" s="6" t="s">
        <v>373</v>
      </c>
      <c r="J80" s="6" t="s">
        <v>293</v>
      </c>
      <c r="K80" s="18" t="s">
        <v>566</v>
      </c>
      <c r="P80" s="23"/>
      <c r="Q80" s="18"/>
    </row>
    <row r="81" spans="1:17" s="6" customFormat="1" x14ac:dyDescent="0.25">
      <c r="A81" s="6">
        <v>10307</v>
      </c>
      <c r="B81" s="23" t="s">
        <v>520</v>
      </c>
      <c r="C81" s="30">
        <v>10307</v>
      </c>
      <c r="D81" s="6" t="s">
        <v>295</v>
      </c>
      <c r="E81" s="6">
        <v>10</v>
      </c>
      <c r="G81" s="36"/>
      <c r="I81" s="6" t="s">
        <v>373</v>
      </c>
      <c r="J81" s="6" t="s">
        <v>293</v>
      </c>
      <c r="K81" s="18" t="s">
        <v>519</v>
      </c>
      <c r="P81" s="23"/>
      <c r="Q81" s="18"/>
    </row>
    <row r="82" spans="1:17" s="6" customFormat="1" x14ac:dyDescent="0.25">
      <c r="A82" s="6">
        <v>10308</v>
      </c>
      <c r="B82" s="23" t="s">
        <v>357</v>
      </c>
      <c r="C82" s="30">
        <v>10308</v>
      </c>
      <c r="D82" s="6" t="s">
        <v>202</v>
      </c>
      <c r="E82" s="6">
        <v>10</v>
      </c>
      <c r="G82" s="36"/>
      <c r="I82" s="6" t="s">
        <v>373</v>
      </c>
      <c r="J82" s="6" t="s">
        <v>293</v>
      </c>
      <c r="K82" s="18" t="s">
        <v>358</v>
      </c>
      <c r="P82" s="23"/>
      <c r="Q82" s="18"/>
    </row>
    <row r="83" spans="1:17" s="6" customFormat="1" x14ac:dyDescent="0.25">
      <c r="A83" s="6">
        <v>10309</v>
      </c>
      <c r="B83" s="23" t="s">
        <v>359</v>
      </c>
      <c r="C83" s="30">
        <v>10309</v>
      </c>
      <c r="D83" s="6" t="s">
        <v>295</v>
      </c>
      <c r="E83" s="6">
        <v>10</v>
      </c>
      <c r="G83" s="36"/>
      <c r="I83" s="6" t="s">
        <v>373</v>
      </c>
      <c r="J83" s="6" t="s">
        <v>293</v>
      </c>
      <c r="K83" s="18" t="s">
        <v>356</v>
      </c>
      <c r="P83" s="23"/>
      <c r="Q83" s="18"/>
    </row>
    <row r="84" spans="1:17" s="6" customFormat="1" x14ac:dyDescent="0.25">
      <c r="A84" s="6">
        <v>10310</v>
      </c>
      <c r="B84" s="23" t="s">
        <v>525</v>
      </c>
      <c r="C84" s="30">
        <v>10310</v>
      </c>
      <c r="D84" s="6" t="s">
        <v>201</v>
      </c>
      <c r="E84" s="6">
        <v>10</v>
      </c>
      <c r="G84" s="36"/>
      <c r="I84" s="6" t="s">
        <v>373</v>
      </c>
      <c r="J84" s="6" t="s">
        <v>293</v>
      </c>
      <c r="K84" s="18" t="s">
        <v>361</v>
      </c>
      <c r="P84" s="23"/>
      <c r="Q84" s="18"/>
    </row>
    <row r="85" spans="1:17" s="6" customFormat="1" x14ac:dyDescent="0.25">
      <c r="B85" s="23"/>
      <c r="C85" s="30"/>
      <c r="G85" s="36"/>
      <c r="K85" s="18"/>
      <c r="P85" s="23"/>
      <c r="Q85" s="18"/>
    </row>
    <row r="87" spans="1:17" x14ac:dyDescent="0.25">
      <c r="A87" s="11" t="s">
        <v>82</v>
      </c>
    </row>
  </sheetData>
  <phoneticPr fontId="1" type="noConversion"/>
  <dataValidations count="3">
    <dataValidation type="list" allowBlank="1" showInputMessage="1" showErrorMessage="1" sqref="D3:D1048576" xr:uid="{A79A7574-38DC-4337-9099-BD837C4C5498}">
      <formula1>Activation</formula1>
    </dataValidation>
    <dataValidation type="list" allowBlank="1" showInputMessage="1" showErrorMessage="1" sqref="J3:J1048576" xr:uid="{1B8F6DA4-65AC-45D1-90D5-9B3375E21F7D}">
      <formula1>Divine</formula1>
    </dataValidation>
    <dataValidation type="list" allowBlank="1" showInputMessage="1" showErrorMessage="1" sqref="I3:I1048576" xr:uid="{26622A84-E5A4-44E1-9C4F-0B91AF78DEF4}">
      <formula1>Type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A297F3-6772-4E5D-BBA1-72772E7279FB}">
  <sheetPr codeName="工作表3"/>
  <dimension ref="A1:AB96"/>
  <sheetViews>
    <sheetView tabSelected="1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C13" sqref="C13"/>
    </sheetView>
  </sheetViews>
  <sheetFormatPr defaultColWidth="10.42578125" defaultRowHeight="15.75" x14ac:dyDescent="0.25"/>
  <cols>
    <col min="1" max="1" width="9" style="6" customWidth="1"/>
    <col min="2" max="2" width="15.7109375" style="18" customWidth="1"/>
    <col min="3" max="3" width="49.28515625" style="27" customWidth="1"/>
    <col min="4" max="4" width="14.28515625" customWidth="1"/>
    <col min="5" max="5" width="12.5703125" style="20" customWidth="1"/>
    <col min="6" max="6" width="17.42578125" style="20" customWidth="1"/>
    <col min="7" max="7" width="18.140625" style="29" customWidth="1"/>
    <col min="8" max="8" width="18.140625" style="21" customWidth="1"/>
    <col min="9" max="9" width="18.140625" style="20" customWidth="1"/>
    <col min="10" max="10" width="18.140625" style="29" customWidth="1"/>
    <col min="11" max="11" width="18.140625" style="21" customWidth="1"/>
    <col min="12" max="12" width="18.140625" style="20" customWidth="1"/>
    <col min="13" max="13" width="18.140625" style="29" customWidth="1"/>
    <col min="14" max="14" width="18.140625" style="21" customWidth="1"/>
    <col min="15" max="15" width="18.140625" style="20" customWidth="1"/>
    <col min="16" max="16" width="18.140625" style="29" customWidth="1"/>
    <col min="17" max="17" width="18.140625" style="21" customWidth="1"/>
    <col min="18" max="18" width="18.140625" style="20" customWidth="1"/>
    <col min="19" max="19" width="18.140625" style="29" customWidth="1"/>
    <col min="20" max="20" width="18.140625" style="21" customWidth="1"/>
    <col min="21" max="21" width="18.140625" style="20" customWidth="1"/>
    <col min="22" max="22" width="18.140625" style="29" customWidth="1"/>
    <col min="23" max="23" width="18.140625" style="21" customWidth="1"/>
    <col min="24" max="24" width="18.140625" style="20" customWidth="1"/>
    <col min="25" max="25" width="18.140625" style="29" customWidth="1"/>
    <col min="26" max="26" width="18.140625" style="21" customWidth="1"/>
    <col min="27" max="28" width="10.42578125" style="20"/>
  </cols>
  <sheetData>
    <row r="1" spans="1:26" s="7" customFormat="1" x14ac:dyDescent="0.25">
      <c r="A1" s="7" t="s">
        <v>193</v>
      </c>
      <c r="B1" s="17" t="s">
        <v>84</v>
      </c>
      <c r="C1" s="22" t="s">
        <v>167</v>
      </c>
      <c r="D1" s="7" t="s">
        <v>210</v>
      </c>
      <c r="E1" s="7" t="s">
        <v>212</v>
      </c>
      <c r="F1" s="7" t="s">
        <v>213</v>
      </c>
      <c r="G1" s="28" t="s">
        <v>424</v>
      </c>
      <c r="H1" s="14" t="s">
        <v>257</v>
      </c>
      <c r="I1" s="7" t="s">
        <v>214</v>
      </c>
      <c r="J1" s="28" t="s">
        <v>425</v>
      </c>
      <c r="K1" s="14" t="s">
        <v>258</v>
      </c>
      <c r="L1" s="7" t="s">
        <v>215</v>
      </c>
      <c r="M1" s="28" t="s">
        <v>426</v>
      </c>
      <c r="N1" s="14" t="s">
        <v>259</v>
      </c>
      <c r="O1" s="7" t="s">
        <v>216</v>
      </c>
      <c r="P1" s="28" t="s">
        <v>427</v>
      </c>
      <c r="Q1" s="14" t="s">
        <v>260</v>
      </c>
      <c r="R1" s="7" t="s">
        <v>261</v>
      </c>
      <c r="S1" s="28" t="s">
        <v>428</v>
      </c>
      <c r="T1" s="14" t="s">
        <v>262</v>
      </c>
      <c r="U1" s="7" t="s">
        <v>217</v>
      </c>
      <c r="V1" s="28" t="s">
        <v>429</v>
      </c>
      <c r="W1" s="14" t="s">
        <v>263</v>
      </c>
      <c r="X1" s="7" t="s">
        <v>218</v>
      </c>
      <c r="Y1" s="28" t="s">
        <v>430</v>
      </c>
      <c r="Z1" s="14" t="s">
        <v>264</v>
      </c>
    </row>
    <row r="2" spans="1:26" s="7" customFormat="1" x14ac:dyDescent="0.25">
      <c r="A2" s="7" t="s">
        <v>79</v>
      </c>
      <c r="B2" s="17" t="s">
        <v>85</v>
      </c>
      <c r="C2" s="22" t="s">
        <v>168</v>
      </c>
      <c r="D2" s="7" t="s">
        <v>209</v>
      </c>
      <c r="E2" s="7" t="s">
        <v>169</v>
      </c>
      <c r="F2" s="7" t="s">
        <v>170</v>
      </c>
      <c r="G2" s="28" t="s">
        <v>171</v>
      </c>
      <c r="H2" s="14" t="s">
        <v>172</v>
      </c>
      <c r="I2" s="7" t="s">
        <v>173</v>
      </c>
      <c r="J2" s="28" t="s">
        <v>174</v>
      </c>
      <c r="K2" s="14" t="s">
        <v>175</v>
      </c>
      <c r="L2" s="7" t="s">
        <v>176</v>
      </c>
      <c r="M2" s="28" t="s">
        <v>177</v>
      </c>
      <c r="N2" s="14" t="s">
        <v>178</v>
      </c>
      <c r="O2" s="7" t="s">
        <v>179</v>
      </c>
      <c r="P2" s="28" t="s">
        <v>180</v>
      </c>
      <c r="Q2" s="14" t="s">
        <v>181</v>
      </c>
      <c r="R2" s="7" t="s">
        <v>182</v>
      </c>
      <c r="S2" s="28" t="s">
        <v>183</v>
      </c>
      <c r="T2" s="14" t="s">
        <v>184</v>
      </c>
      <c r="U2" s="7" t="s">
        <v>185</v>
      </c>
      <c r="V2" s="28" t="s">
        <v>186</v>
      </c>
      <c r="W2" s="14" t="s">
        <v>187</v>
      </c>
      <c r="X2" s="7" t="s">
        <v>188</v>
      </c>
      <c r="Y2" s="28" t="s">
        <v>189</v>
      </c>
      <c r="Z2" s="14" t="s">
        <v>190</v>
      </c>
    </row>
    <row r="4" spans="1:26" x14ac:dyDescent="0.25">
      <c r="B4" s="23" t="s">
        <v>274</v>
      </c>
    </row>
    <row r="5" spans="1:26" s="6" customFormat="1" x14ac:dyDescent="0.25">
      <c r="A5" s="6">
        <v>1</v>
      </c>
      <c r="B5" s="18" t="s">
        <v>104</v>
      </c>
      <c r="C5" s="23" t="s">
        <v>222</v>
      </c>
      <c r="D5" s="6">
        <v>1</v>
      </c>
      <c r="E5" s="6" t="s">
        <v>211</v>
      </c>
      <c r="F5" s="6" t="s">
        <v>528</v>
      </c>
      <c r="G5" s="30">
        <v>5</v>
      </c>
      <c r="H5" s="15">
        <v>1</v>
      </c>
      <c r="I5" s="6" t="s">
        <v>528</v>
      </c>
      <c r="J5" s="30">
        <v>5</v>
      </c>
      <c r="K5" s="15">
        <v>1</v>
      </c>
      <c r="L5" s="6" t="s">
        <v>528</v>
      </c>
      <c r="M5" s="30">
        <v>5</v>
      </c>
      <c r="N5" s="15">
        <v>1</v>
      </c>
      <c r="O5" s="6" t="s">
        <v>528</v>
      </c>
      <c r="P5" s="30">
        <v>5</v>
      </c>
      <c r="Q5" s="15">
        <v>1</v>
      </c>
      <c r="R5" s="6" t="s">
        <v>528</v>
      </c>
      <c r="S5" s="30">
        <v>5</v>
      </c>
      <c r="T5" s="15">
        <v>1</v>
      </c>
      <c r="U5" s="6" t="s">
        <v>219</v>
      </c>
      <c r="V5" s="30">
        <v>5</v>
      </c>
      <c r="W5" s="15">
        <v>1</v>
      </c>
      <c r="Y5" s="30"/>
      <c r="Z5" s="15"/>
    </row>
    <row r="6" spans="1:26" x14ac:dyDescent="0.25">
      <c r="A6" s="6">
        <v>2</v>
      </c>
      <c r="B6" s="18" t="s">
        <v>107</v>
      </c>
      <c r="C6" s="23" t="s">
        <v>223</v>
      </c>
      <c r="D6" s="6">
        <v>2</v>
      </c>
      <c r="E6" s="6" t="s">
        <v>211</v>
      </c>
      <c r="F6" s="6" t="s">
        <v>528</v>
      </c>
      <c r="G6" s="30">
        <v>50</v>
      </c>
      <c r="H6" s="15">
        <v>1</v>
      </c>
      <c r="I6" s="6" t="s">
        <v>221</v>
      </c>
      <c r="J6" s="30">
        <v>3</v>
      </c>
      <c r="K6" s="15">
        <v>1</v>
      </c>
      <c r="L6" s="6" t="s">
        <v>220</v>
      </c>
      <c r="M6" s="30">
        <v>3</v>
      </c>
      <c r="N6" s="15">
        <v>1</v>
      </c>
      <c r="O6" s="6"/>
      <c r="P6" s="30"/>
      <c r="Q6" s="15"/>
      <c r="R6" s="6"/>
      <c r="S6" s="30"/>
      <c r="T6" s="15"/>
      <c r="U6" s="6"/>
      <c r="V6" s="30"/>
      <c r="W6" s="15"/>
      <c r="X6" s="6"/>
      <c r="Y6" s="30"/>
      <c r="Z6" s="15"/>
    </row>
    <row r="7" spans="1:26" x14ac:dyDescent="0.25">
      <c r="A7" s="6">
        <v>3</v>
      </c>
      <c r="B7" s="18" t="s">
        <v>100</v>
      </c>
      <c r="C7" s="23" t="s">
        <v>225</v>
      </c>
      <c r="D7" s="6">
        <v>3</v>
      </c>
      <c r="E7" s="6" t="s">
        <v>211</v>
      </c>
      <c r="F7" s="6" t="s">
        <v>528</v>
      </c>
      <c r="G7" s="30">
        <v>40</v>
      </c>
      <c r="H7" s="15">
        <v>1</v>
      </c>
      <c r="I7" s="6" t="s">
        <v>206</v>
      </c>
      <c r="J7" s="30">
        <v>4</v>
      </c>
      <c r="K7" s="15">
        <v>1</v>
      </c>
      <c r="L7" s="6"/>
      <c r="M7" s="30"/>
      <c r="N7" s="15"/>
      <c r="O7" s="6"/>
      <c r="P7" s="30"/>
      <c r="Q7" s="15"/>
      <c r="R7" s="6"/>
      <c r="S7" s="30"/>
      <c r="T7" s="15"/>
      <c r="U7" s="6"/>
      <c r="V7" s="30"/>
      <c r="W7" s="15"/>
      <c r="X7" s="6"/>
      <c r="Y7" s="30"/>
      <c r="Z7" s="15"/>
    </row>
    <row r="8" spans="1:26" x14ac:dyDescent="0.25">
      <c r="A8" s="6">
        <v>4</v>
      </c>
      <c r="B8" s="18" t="s">
        <v>108</v>
      </c>
      <c r="C8" s="23" t="s">
        <v>227</v>
      </c>
      <c r="D8" s="6">
        <v>4</v>
      </c>
      <c r="E8" s="6" t="s">
        <v>211</v>
      </c>
      <c r="F8" s="6" t="s">
        <v>528</v>
      </c>
      <c r="G8" s="30">
        <v>40</v>
      </c>
      <c r="H8" s="15">
        <v>1</v>
      </c>
      <c r="I8" s="6" t="s">
        <v>228</v>
      </c>
      <c r="J8" s="30">
        <v>20</v>
      </c>
      <c r="K8" s="15">
        <v>1</v>
      </c>
      <c r="L8" s="6"/>
      <c r="M8" s="30"/>
      <c r="N8" s="15"/>
      <c r="O8" s="6"/>
      <c r="P8" s="30"/>
      <c r="Q8" s="15"/>
      <c r="R8" s="6"/>
      <c r="S8" s="30"/>
      <c r="T8" s="15"/>
      <c r="U8" s="6"/>
      <c r="V8" s="30"/>
      <c r="W8" s="15"/>
      <c r="X8" s="6"/>
      <c r="Y8" s="30"/>
      <c r="Z8" s="15"/>
    </row>
    <row r="9" spans="1:26" x14ac:dyDescent="0.25">
      <c r="A9" s="6">
        <v>5</v>
      </c>
      <c r="B9" s="18" t="s">
        <v>106</v>
      </c>
      <c r="C9" s="23" t="s">
        <v>229</v>
      </c>
      <c r="D9" s="6">
        <v>5</v>
      </c>
      <c r="E9" s="6" t="s">
        <v>211</v>
      </c>
      <c r="F9" s="6" t="s">
        <v>528</v>
      </c>
      <c r="G9" s="30">
        <v>50</v>
      </c>
      <c r="H9" s="15">
        <v>1</v>
      </c>
      <c r="I9" s="6" t="s">
        <v>203</v>
      </c>
      <c r="J9" s="30">
        <v>3</v>
      </c>
      <c r="K9" s="15">
        <v>1</v>
      </c>
      <c r="L9" s="6"/>
      <c r="M9" s="30"/>
      <c r="N9" s="15"/>
      <c r="O9" s="6"/>
      <c r="P9" s="30"/>
      <c r="Q9" s="15"/>
      <c r="R9" s="6"/>
      <c r="S9" s="30"/>
      <c r="T9" s="15"/>
      <c r="U9" s="6"/>
      <c r="V9" s="30"/>
      <c r="W9" s="15"/>
      <c r="X9" s="6"/>
      <c r="Y9" s="30"/>
      <c r="Z9" s="15"/>
    </row>
    <row r="10" spans="1:26" x14ac:dyDescent="0.25">
      <c r="A10" s="6">
        <v>6</v>
      </c>
      <c r="B10" s="18" t="s">
        <v>101</v>
      </c>
      <c r="C10" s="23" t="s">
        <v>227</v>
      </c>
      <c r="D10" s="6">
        <v>6</v>
      </c>
      <c r="E10" s="6" t="s">
        <v>211</v>
      </c>
      <c r="F10" s="6" t="s">
        <v>528</v>
      </c>
      <c r="G10" s="30">
        <v>60</v>
      </c>
      <c r="H10" s="15">
        <v>1</v>
      </c>
      <c r="I10" s="6" t="s">
        <v>228</v>
      </c>
      <c r="J10" s="30">
        <v>30</v>
      </c>
      <c r="K10" s="15">
        <v>1</v>
      </c>
      <c r="L10" s="6"/>
      <c r="M10" s="30"/>
      <c r="N10" s="15"/>
      <c r="O10" s="6"/>
      <c r="P10" s="30"/>
      <c r="Q10" s="15"/>
      <c r="R10" s="6"/>
      <c r="S10" s="30"/>
      <c r="T10" s="15"/>
      <c r="U10" s="6"/>
      <c r="V10" s="30"/>
      <c r="W10" s="15"/>
      <c r="X10" s="6"/>
      <c r="Y10" s="30"/>
      <c r="Z10" s="15"/>
    </row>
    <row r="11" spans="1:26" x14ac:dyDescent="0.25">
      <c r="A11" s="6">
        <v>7</v>
      </c>
      <c r="B11" s="18" t="s">
        <v>109</v>
      </c>
      <c r="C11" s="23" t="s">
        <v>231</v>
      </c>
      <c r="D11" s="6">
        <v>7</v>
      </c>
      <c r="E11" s="6" t="s">
        <v>211</v>
      </c>
      <c r="F11" s="6" t="s">
        <v>528</v>
      </c>
      <c r="G11" s="30">
        <v>40</v>
      </c>
      <c r="H11" s="15">
        <v>1</v>
      </c>
      <c r="I11" s="6" t="s">
        <v>230</v>
      </c>
      <c r="J11" s="30">
        <v>3</v>
      </c>
      <c r="K11" s="15">
        <v>1</v>
      </c>
      <c r="L11" s="6"/>
      <c r="M11" s="30"/>
      <c r="N11" s="15"/>
      <c r="O11" s="6"/>
      <c r="P11" s="30"/>
      <c r="Q11" s="15"/>
      <c r="R11" s="6"/>
      <c r="S11" s="30"/>
      <c r="T11" s="15"/>
      <c r="U11" s="6"/>
      <c r="V11" s="30"/>
      <c r="W11" s="15"/>
      <c r="X11" s="6"/>
      <c r="Y11" s="30"/>
      <c r="Z11" s="15"/>
    </row>
    <row r="12" spans="1:26" x14ac:dyDescent="0.25">
      <c r="A12" s="6">
        <v>8</v>
      </c>
      <c r="B12" s="18" t="s">
        <v>102</v>
      </c>
      <c r="C12" s="23" t="s">
        <v>232</v>
      </c>
      <c r="D12" s="6">
        <v>8</v>
      </c>
      <c r="E12" s="6" t="s">
        <v>211</v>
      </c>
      <c r="F12" s="6" t="s">
        <v>528</v>
      </c>
      <c r="G12" s="30">
        <v>60</v>
      </c>
      <c r="H12" s="15">
        <v>1</v>
      </c>
      <c r="I12" s="6" t="s">
        <v>219</v>
      </c>
      <c r="J12" s="30">
        <v>10</v>
      </c>
      <c r="K12" s="15">
        <v>1</v>
      </c>
      <c r="L12" s="6"/>
      <c r="M12" s="30"/>
      <c r="N12" s="15"/>
      <c r="O12" s="6"/>
      <c r="P12" s="30"/>
      <c r="Q12" s="15"/>
      <c r="R12" s="6"/>
      <c r="S12" s="30"/>
      <c r="T12" s="15"/>
      <c r="U12" s="6"/>
      <c r="V12" s="30"/>
      <c r="W12" s="15"/>
      <c r="X12" s="6"/>
      <c r="Y12" s="30"/>
      <c r="Z12" s="15"/>
    </row>
    <row r="13" spans="1:26" x14ac:dyDescent="0.25">
      <c r="A13" s="6">
        <v>9</v>
      </c>
      <c r="B13" s="18" t="s">
        <v>233</v>
      </c>
      <c r="C13" s="23" t="s">
        <v>226</v>
      </c>
      <c r="D13" s="6">
        <v>9</v>
      </c>
      <c r="E13" s="6" t="s">
        <v>211</v>
      </c>
      <c r="F13" s="6" t="s">
        <v>528</v>
      </c>
      <c r="G13" s="30">
        <v>40</v>
      </c>
      <c r="H13" s="15">
        <v>1</v>
      </c>
      <c r="I13" s="6"/>
      <c r="J13" s="30"/>
      <c r="K13" s="15"/>
      <c r="L13" s="6"/>
      <c r="M13" s="30"/>
      <c r="N13" s="15"/>
      <c r="O13" s="6"/>
      <c r="P13" s="30"/>
      <c r="Q13" s="15"/>
      <c r="R13" s="6"/>
      <c r="S13" s="30"/>
      <c r="T13" s="15"/>
      <c r="U13" s="6"/>
      <c r="V13" s="30"/>
      <c r="W13" s="15"/>
      <c r="X13" s="6"/>
      <c r="Y13" s="30"/>
      <c r="Z13" s="15"/>
    </row>
    <row r="14" spans="1:26" x14ac:dyDescent="0.25">
      <c r="A14" s="6" t="s">
        <v>234</v>
      </c>
      <c r="B14" s="18" t="s">
        <v>233</v>
      </c>
      <c r="C14" s="23" t="s">
        <v>236</v>
      </c>
      <c r="D14" s="6">
        <v>9</v>
      </c>
      <c r="E14" s="6" t="s">
        <v>235</v>
      </c>
      <c r="F14" s="6" t="s">
        <v>224</v>
      </c>
      <c r="G14" s="30">
        <v>6</v>
      </c>
      <c r="H14" s="15">
        <v>1</v>
      </c>
      <c r="I14" s="6"/>
      <c r="J14" s="30"/>
      <c r="K14" s="15"/>
      <c r="L14" s="6"/>
      <c r="M14" s="30"/>
      <c r="N14" s="15"/>
      <c r="O14" s="6"/>
      <c r="P14" s="30"/>
      <c r="Q14" s="15"/>
      <c r="R14" s="6"/>
      <c r="S14" s="30"/>
      <c r="T14" s="15"/>
      <c r="U14" s="6"/>
      <c r="V14" s="30"/>
      <c r="W14" s="15"/>
      <c r="X14" s="6"/>
      <c r="Y14" s="30"/>
      <c r="Z14" s="15"/>
    </row>
    <row r="15" spans="1:26" x14ac:dyDescent="0.25">
      <c r="A15" s="6">
        <v>10</v>
      </c>
      <c r="B15" s="18" t="s">
        <v>105</v>
      </c>
      <c r="C15" s="23" t="s">
        <v>239</v>
      </c>
      <c r="D15" s="6">
        <v>10</v>
      </c>
      <c r="E15" s="6" t="s">
        <v>235</v>
      </c>
      <c r="F15" s="6" t="s">
        <v>237</v>
      </c>
      <c r="G15" s="30">
        <v>50</v>
      </c>
      <c r="H15" s="15">
        <v>1</v>
      </c>
      <c r="I15" s="6" t="s">
        <v>238</v>
      </c>
      <c r="J15" s="30">
        <v>3</v>
      </c>
      <c r="K15" s="15">
        <v>1</v>
      </c>
      <c r="L15" s="6"/>
      <c r="M15" s="30"/>
      <c r="N15" s="15"/>
      <c r="O15" s="6"/>
      <c r="P15" s="30"/>
      <c r="Q15" s="15"/>
      <c r="R15" s="6"/>
      <c r="S15" s="30"/>
      <c r="T15" s="15"/>
      <c r="U15" s="6"/>
      <c r="V15" s="30"/>
      <c r="W15" s="15"/>
      <c r="X15" s="6"/>
      <c r="Y15" s="30"/>
      <c r="Z15" s="15"/>
    </row>
    <row r="17" spans="1:25" x14ac:dyDescent="0.25">
      <c r="B17" s="23" t="s">
        <v>273</v>
      </c>
    </row>
    <row r="18" spans="1:25" x14ac:dyDescent="0.25">
      <c r="A18" s="6">
        <v>1001</v>
      </c>
      <c r="B18" s="18" t="s">
        <v>240</v>
      </c>
      <c r="C18" s="23" t="s">
        <v>226</v>
      </c>
      <c r="D18" s="6">
        <v>1001</v>
      </c>
      <c r="E18" s="6" t="s">
        <v>211</v>
      </c>
      <c r="F18" s="6" t="s">
        <v>528</v>
      </c>
      <c r="G18" s="30">
        <v>30</v>
      </c>
      <c r="H18" s="15">
        <v>1</v>
      </c>
      <c r="I18" s="6"/>
      <c r="J18" s="30"/>
      <c r="K18" s="15"/>
      <c r="M18" s="30"/>
      <c r="P18" s="30"/>
      <c r="S18" s="30"/>
      <c r="V18" s="30"/>
      <c r="Y18" s="30"/>
    </row>
    <row r="19" spans="1:25" x14ac:dyDescent="0.25">
      <c r="A19" s="6">
        <v>1002</v>
      </c>
      <c r="B19" s="18" t="s">
        <v>250</v>
      </c>
      <c r="C19" s="23" t="s">
        <v>226</v>
      </c>
      <c r="D19" s="6">
        <v>1002</v>
      </c>
      <c r="E19" s="6" t="s">
        <v>211</v>
      </c>
      <c r="F19" s="6" t="s">
        <v>528</v>
      </c>
      <c r="G19" s="29" t="s">
        <v>614</v>
      </c>
      <c r="H19" s="15">
        <v>1</v>
      </c>
    </row>
    <row r="20" spans="1:25" x14ac:dyDescent="0.25">
      <c r="A20" s="6" t="s">
        <v>612</v>
      </c>
      <c r="B20" s="18" t="s">
        <v>250</v>
      </c>
      <c r="C20" s="23" t="s">
        <v>226</v>
      </c>
      <c r="D20" s="6">
        <v>1002</v>
      </c>
      <c r="E20" s="6" t="s">
        <v>235</v>
      </c>
      <c r="F20" s="6" t="s">
        <v>617</v>
      </c>
      <c r="G20" s="29" t="s">
        <v>438</v>
      </c>
      <c r="H20" s="15">
        <v>1</v>
      </c>
      <c r="I20" s="20" t="s">
        <v>251</v>
      </c>
      <c r="J20" s="29">
        <v>0.5</v>
      </c>
      <c r="K20" s="15">
        <v>1</v>
      </c>
    </row>
    <row r="21" spans="1:25" x14ac:dyDescent="0.25">
      <c r="A21" s="6">
        <v>1003</v>
      </c>
      <c r="B21" s="18" t="s">
        <v>241</v>
      </c>
      <c r="C21" s="23" t="s">
        <v>232</v>
      </c>
      <c r="D21" s="6">
        <v>1003</v>
      </c>
      <c r="E21" s="6" t="s">
        <v>211</v>
      </c>
      <c r="F21" s="6" t="s">
        <v>528</v>
      </c>
      <c r="G21" s="30" t="s">
        <v>613</v>
      </c>
      <c r="H21" s="15">
        <v>1</v>
      </c>
      <c r="I21" s="6" t="s">
        <v>219</v>
      </c>
      <c r="J21" s="30">
        <v>3</v>
      </c>
      <c r="K21" s="15">
        <v>1</v>
      </c>
      <c r="M21" s="30"/>
      <c r="P21" s="30"/>
      <c r="S21" s="30"/>
      <c r="V21" s="30"/>
      <c r="Y21" s="30"/>
    </row>
    <row r="22" spans="1:25" x14ac:dyDescent="0.25">
      <c r="A22" s="6">
        <v>1004</v>
      </c>
      <c r="B22" s="18" t="s">
        <v>242</v>
      </c>
      <c r="C22" s="23" t="s">
        <v>226</v>
      </c>
      <c r="D22" s="6">
        <v>1004</v>
      </c>
      <c r="E22" s="6" t="s">
        <v>211</v>
      </c>
      <c r="F22" s="6" t="s">
        <v>528</v>
      </c>
      <c r="G22" s="29" t="s">
        <v>613</v>
      </c>
      <c r="H22" s="15">
        <v>1</v>
      </c>
      <c r="I22" s="20" t="s">
        <v>251</v>
      </c>
      <c r="J22" s="29">
        <v>0.5</v>
      </c>
      <c r="K22" s="15">
        <v>1</v>
      </c>
    </row>
    <row r="23" spans="1:25" x14ac:dyDescent="0.25">
      <c r="A23" s="6">
        <v>1005</v>
      </c>
      <c r="B23" s="18" t="s">
        <v>243</v>
      </c>
      <c r="C23" s="23" t="s">
        <v>226</v>
      </c>
      <c r="D23" s="6">
        <v>1005</v>
      </c>
      <c r="E23" s="6" t="s">
        <v>211</v>
      </c>
      <c r="F23" s="6" t="s">
        <v>528</v>
      </c>
      <c r="G23" s="29">
        <v>10</v>
      </c>
      <c r="H23" s="15">
        <v>1</v>
      </c>
    </row>
    <row r="24" spans="1:25" x14ac:dyDescent="0.25">
      <c r="A24" s="6">
        <v>1006</v>
      </c>
      <c r="B24" s="18" t="s">
        <v>615</v>
      </c>
      <c r="C24" s="23" t="s">
        <v>616</v>
      </c>
      <c r="D24" s="6">
        <v>1006</v>
      </c>
      <c r="E24" s="6" t="s">
        <v>211</v>
      </c>
      <c r="F24" s="6" t="s">
        <v>528</v>
      </c>
      <c r="G24" s="29" t="s">
        <v>438</v>
      </c>
      <c r="H24" s="15">
        <v>1</v>
      </c>
      <c r="I24" s="6" t="s">
        <v>220</v>
      </c>
      <c r="J24" s="30" t="s">
        <v>472</v>
      </c>
      <c r="K24" s="15">
        <v>1</v>
      </c>
    </row>
    <row r="25" spans="1:25" x14ac:dyDescent="0.25">
      <c r="A25" s="6">
        <v>1007</v>
      </c>
      <c r="B25" s="18" t="s">
        <v>244</v>
      </c>
      <c r="C25" s="23" t="s">
        <v>252</v>
      </c>
      <c r="D25" s="6">
        <v>1007</v>
      </c>
      <c r="E25" s="6" t="s">
        <v>211</v>
      </c>
      <c r="F25" s="20" t="s">
        <v>251</v>
      </c>
      <c r="G25" s="29">
        <v>4</v>
      </c>
      <c r="H25" s="15">
        <v>1</v>
      </c>
      <c r="K25" s="15"/>
    </row>
    <row r="26" spans="1:25" x14ac:dyDescent="0.25">
      <c r="A26" s="6">
        <v>1008</v>
      </c>
      <c r="B26" s="18" t="s">
        <v>245</v>
      </c>
      <c r="C26" s="23" t="s">
        <v>227</v>
      </c>
      <c r="D26" s="6">
        <v>1008</v>
      </c>
      <c r="E26" s="6" t="s">
        <v>211</v>
      </c>
      <c r="F26" s="6" t="s">
        <v>528</v>
      </c>
      <c r="G26" s="30">
        <v>10</v>
      </c>
      <c r="H26" s="15">
        <v>1</v>
      </c>
      <c r="I26" s="6" t="s">
        <v>228</v>
      </c>
      <c r="J26" s="30">
        <v>20</v>
      </c>
      <c r="K26" s="15">
        <v>1</v>
      </c>
      <c r="L26" s="6"/>
      <c r="M26" s="30"/>
      <c r="N26" s="15"/>
      <c r="P26" s="30"/>
      <c r="S26" s="30"/>
      <c r="V26" s="30"/>
      <c r="Y26" s="30"/>
    </row>
    <row r="27" spans="1:25" x14ac:dyDescent="0.25">
      <c r="A27" s="6">
        <v>1009</v>
      </c>
      <c r="B27" s="18" t="s">
        <v>246</v>
      </c>
      <c r="C27" s="23" t="s">
        <v>253</v>
      </c>
      <c r="D27" s="6">
        <v>1009</v>
      </c>
      <c r="E27" s="6" t="s">
        <v>211</v>
      </c>
      <c r="F27" s="20" t="s">
        <v>254</v>
      </c>
      <c r="G27" s="29">
        <v>3</v>
      </c>
      <c r="H27" s="15">
        <v>1</v>
      </c>
    </row>
    <row r="28" spans="1:25" x14ac:dyDescent="0.25">
      <c r="A28" s="6">
        <v>1010</v>
      </c>
      <c r="B28" s="18" t="s">
        <v>247</v>
      </c>
      <c r="C28" s="23" t="s">
        <v>232</v>
      </c>
      <c r="D28" s="6">
        <v>1010</v>
      </c>
      <c r="E28" s="6" t="s">
        <v>211</v>
      </c>
      <c r="F28" s="6" t="s">
        <v>528</v>
      </c>
      <c r="G28" s="30">
        <v>20</v>
      </c>
      <c r="H28" s="15">
        <v>1</v>
      </c>
      <c r="I28" s="6" t="s">
        <v>219</v>
      </c>
      <c r="J28" s="30">
        <v>3</v>
      </c>
      <c r="K28" s="15">
        <v>1</v>
      </c>
      <c r="M28" s="30"/>
      <c r="P28" s="30"/>
      <c r="S28" s="30"/>
      <c r="V28" s="30"/>
      <c r="Y28" s="30"/>
    </row>
    <row r="29" spans="1:25" x14ac:dyDescent="0.25">
      <c r="C29" s="23"/>
      <c r="D29" s="6"/>
      <c r="E29" s="6"/>
      <c r="F29" s="6"/>
      <c r="G29" s="30"/>
      <c r="H29" s="15"/>
      <c r="I29" s="6"/>
      <c r="J29" s="30"/>
      <c r="K29" s="15"/>
      <c r="M29" s="30"/>
      <c r="P29" s="30"/>
      <c r="S29" s="30"/>
      <c r="V29" s="30"/>
      <c r="Y29" s="30"/>
    </row>
    <row r="30" spans="1:25" x14ac:dyDescent="0.25">
      <c r="A30" s="6">
        <v>1011</v>
      </c>
      <c r="B30" s="18" t="s">
        <v>241</v>
      </c>
      <c r="C30" s="23" t="s">
        <v>232</v>
      </c>
      <c r="D30" s="6">
        <v>1011</v>
      </c>
      <c r="E30" s="6" t="s">
        <v>211</v>
      </c>
      <c r="F30" s="20" t="s">
        <v>528</v>
      </c>
      <c r="G30" s="29" t="s">
        <v>613</v>
      </c>
      <c r="H30" s="15">
        <v>1</v>
      </c>
      <c r="I30" s="6"/>
      <c r="J30" s="30"/>
      <c r="K30" s="15"/>
      <c r="M30" s="30"/>
      <c r="P30" s="30"/>
      <c r="S30" s="30"/>
      <c r="V30" s="30"/>
      <c r="Y30" s="30"/>
    </row>
    <row r="31" spans="1:25" x14ac:dyDescent="0.25">
      <c r="B31" s="18" t="s">
        <v>241</v>
      </c>
      <c r="C31" s="23" t="s">
        <v>232</v>
      </c>
      <c r="D31" s="6">
        <v>1011</v>
      </c>
      <c r="E31" s="6" t="s">
        <v>235</v>
      </c>
      <c r="F31" s="6"/>
      <c r="H31" s="15"/>
      <c r="K31" s="15"/>
    </row>
    <row r="32" spans="1:25" x14ac:dyDescent="0.25">
      <c r="A32" s="6">
        <v>1012</v>
      </c>
      <c r="B32" s="18" t="s">
        <v>241</v>
      </c>
      <c r="C32" s="23" t="s">
        <v>232</v>
      </c>
      <c r="D32" s="6">
        <v>1012</v>
      </c>
      <c r="E32" s="6" t="s">
        <v>211</v>
      </c>
      <c r="F32" s="20" t="s">
        <v>528</v>
      </c>
      <c r="G32" s="29" t="s">
        <v>613</v>
      </c>
      <c r="H32" s="15">
        <v>1</v>
      </c>
      <c r="I32" s="6"/>
      <c r="J32" s="30"/>
      <c r="K32" s="15"/>
      <c r="M32" s="30"/>
      <c r="P32" s="30"/>
      <c r="S32" s="30"/>
      <c r="V32" s="30"/>
      <c r="Y32" s="30"/>
    </row>
    <row r="33" spans="1:25" x14ac:dyDescent="0.25">
      <c r="B33" s="18" t="s">
        <v>241</v>
      </c>
      <c r="C33" s="23" t="s">
        <v>232</v>
      </c>
      <c r="D33" s="6">
        <v>1012</v>
      </c>
      <c r="E33" s="6" t="s">
        <v>235</v>
      </c>
      <c r="F33" s="6"/>
      <c r="H33" s="15"/>
      <c r="K33" s="15"/>
    </row>
    <row r="34" spans="1:25" x14ac:dyDescent="0.25">
      <c r="A34" s="6">
        <v>1013</v>
      </c>
      <c r="B34" s="18" t="s">
        <v>241</v>
      </c>
      <c r="C34" s="23" t="s">
        <v>232</v>
      </c>
      <c r="D34" s="6">
        <v>1013</v>
      </c>
      <c r="E34" s="6" t="s">
        <v>211</v>
      </c>
      <c r="F34" s="20" t="s">
        <v>528</v>
      </c>
      <c r="G34" s="29" t="s">
        <v>613</v>
      </c>
      <c r="H34" s="15">
        <v>1</v>
      </c>
      <c r="I34" s="6"/>
      <c r="J34" s="30"/>
      <c r="K34" s="15"/>
      <c r="M34" s="30"/>
      <c r="P34" s="30"/>
      <c r="S34" s="30"/>
      <c r="V34" s="30"/>
      <c r="Y34" s="30"/>
    </row>
    <row r="35" spans="1:25" x14ac:dyDescent="0.25">
      <c r="B35" s="18" t="s">
        <v>241</v>
      </c>
      <c r="C35" s="23" t="s">
        <v>232</v>
      </c>
      <c r="D35" s="6">
        <v>1013</v>
      </c>
      <c r="E35" s="6" t="s">
        <v>235</v>
      </c>
      <c r="F35" s="6"/>
      <c r="H35" s="15"/>
      <c r="K35" s="15"/>
    </row>
    <row r="36" spans="1:25" x14ac:dyDescent="0.25">
      <c r="A36" s="6">
        <v>1014</v>
      </c>
      <c r="B36" s="18" t="s">
        <v>241</v>
      </c>
      <c r="C36" s="23" t="s">
        <v>232</v>
      </c>
      <c r="D36" s="6">
        <v>1014</v>
      </c>
      <c r="E36" s="6" t="s">
        <v>211</v>
      </c>
      <c r="F36" s="20" t="s">
        <v>528</v>
      </c>
      <c r="G36" s="29" t="s">
        <v>613</v>
      </c>
      <c r="H36" s="15">
        <v>1</v>
      </c>
      <c r="I36" s="6"/>
      <c r="J36" s="30"/>
      <c r="K36" s="15"/>
      <c r="M36" s="30"/>
      <c r="P36" s="30"/>
      <c r="S36" s="30"/>
      <c r="V36" s="30"/>
      <c r="Y36" s="30"/>
    </row>
    <row r="37" spans="1:25" x14ac:dyDescent="0.25">
      <c r="B37" s="18" t="s">
        <v>241</v>
      </c>
      <c r="C37" s="23" t="s">
        <v>232</v>
      </c>
      <c r="D37" s="6">
        <v>1014</v>
      </c>
      <c r="E37" s="6" t="s">
        <v>235</v>
      </c>
      <c r="F37" s="6"/>
      <c r="H37" s="15"/>
      <c r="K37" s="15"/>
    </row>
    <row r="38" spans="1:25" x14ac:dyDescent="0.25">
      <c r="A38" s="6">
        <v>1015</v>
      </c>
      <c r="B38" s="18" t="s">
        <v>241</v>
      </c>
      <c r="C38" s="23" t="s">
        <v>232</v>
      </c>
      <c r="D38" s="6">
        <v>1015</v>
      </c>
      <c r="E38" s="6" t="s">
        <v>211</v>
      </c>
      <c r="F38" s="20" t="s">
        <v>528</v>
      </c>
      <c r="G38" s="29" t="s">
        <v>613</v>
      </c>
      <c r="H38" s="15">
        <v>1</v>
      </c>
      <c r="I38" s="6"/>
      <c r="J38" s="30"/>
      <c r="K38" s="15"/>
      <c r="M38" s="30"/>
      <c r="P38" s="30"/>
      <c r="S38" s="30"/>
      <c r="V38" s="30"/>
      <c r="Y38" s="30"/>
    </row>
    <row r="39" spans="1:25" x14ac:dyDescent="0.25">
      <c r="B39" s="18" t="s">
        <v>241</v>
      </c>
      <c r="C39" s="23" t="s">
        <v>232</v>
      </c>
      <c r="D39" s="6">
        <v>1015</v>
      </c>
      <c r="E39" s="6" t="s">
        <v>235</v>
      </c>
      <c r="F39" s="6"/>
      <c r="H39" s="15"/>
      <c r="K39" s="15"/>
    </row>
    <row r="40" spans="1:25" x14ac:dyDescent="0.25">
      <c r="A40" s="6">
        <v>1016</v>
      </c>
      <c r="B40" s="18" t="s">
        <v>241</v>
      </c>
      <c r="C40" s="23" t="s">
        <v>232</v>
      </c>
      <c r="D40" s="6">
        <v>1016</v>
      </c>
      <c r="E40" s="6" t="s">
        <v>211</v>
      </c>
      <c r="F40" s="20" t="s">
        <v>528</v>
      </c>
      <c r="G40" s="29" t="s">
        <v>613</v>
      </c>
      <c r="H40" s="15">
        <v>1</v>
      </c>
      <c r="I40" s="6"/>
      <c r="J40" s="30"/>
      <c r="K40" s="15"/>
      <c r="M40" s="30"/>
      <c r="P40" s="30"/>
      <c r="S40" s="30"/>
      <c r="V40" s="30"/>
      <c r="Y40" s="30"/>
    </row>
    <row r="41" spans="1:25" x14ac:dyDescent="0.25">
      <c r="B41" s="18" t="s">
        <v>241</v>
      </c>
      <c r="C41" s="23" t="s">
        <v>232</v>
      </c>
      <c r="D41" s="6">
        <v>1016</v>
      </c>
      <c r="E41" s="6" t="s">
        <v>235</v>
      </c>
      <c r="F41" s="6"/>
      <c r="H41" s="15"/>
      <c r="K41" s="15"/>
    </row>
    <row r="42" spans="1:25" x14ac:dyDescent="0.25">
      <c r="C42" s="23"/>
      <c r="D42" s="6"/>
      <c r="E42" s="6"/>
      <c r="F42" s="6"/>
      <c r="G42" s="30"/>
      <c r="H42" s="15"/>
      <c r="I42" s="6"/>
      <c r="J42" s="30"/>
      <c r="K42" s="15"/>
      <c r="M42" s="30"/>
      <c r="P42" s="30"/>
      <c r="S42" s="30"/>
      <c r="V42" s="30"/>
      <c r="Y42" s="30"/>
    </row>
    <row r="43" spans="1:25" x14ac:dyDescent="0.25">
      <c r="B43" s="18" t="s">
        <v>374</v>
      </c>
      <c r="C43" s="23"/>
      <c r="D43" s="6"/>
      <c r="E43" s="6"/>
      <c r="F43" s="6"/>
      <c r="G43" s="30"/>
      <c r="H43" s="15"/>
      <c r="I43" s="6"/>
      <c r="J43" s="30"/>
      <c r="K43" s="15"/>
      <c r="L43" s="6"/>
      <c r="M43" s="30"/>
      <c r="N43" s="15"/>
      <c r="P43" s="30"/>
      <c r="S43" s="30"/>
      <c r="V43" s="30"/>
      <c r="Y43" s="30"/>
    </row>
    <row r="44" spans="1:25" x14ac:dyDescent="0.25">
      <c r="B44" s="18" t="s">
        <v>375</v>
      </c>
      <c r="C44" s="23"/>
      <c r="D44" s="6"/>
      <c r="E44" s="6"/>
      <c r="F44" s="6"/>
      <c r="G44" s="30"/>
      <c r="H44" s="15"/>
      <c r="I44" s="6"/>
      <c r="J44" s="30"/>
      <c r="K44" s="15"/>
      <c r="L44" s="6"/>
      <c r="M44" s="30"/>
      <c r="N44" s="15"/>
      <c r="P44" s="30"/>
      <c r="S44" s="30"/>
      <c r="V44" s="30"/>
      <c r="Y44" s="30"/>
    </row>
    <row r="45" spans="1:25" x14ac:dyDescent="0.25">
      <c r="A45" s="6">
        <v>10001</v>
      </c>
      <c r="B45" s="18" t="s">
        <v>376</v>
      </c>
      <c r="C45" s="23" t="s">
        <v>316</v>
      </c>
      <c r="D45" s="6">
        <v>10001</v>
      </c>
      <c r="E45" s="6" t="s">
        <v>211</v>
      </c>
      <c r="F45" s="6" t="s">
        <v>418</v>
      </c>
      <c r="G45" s="30">
        <v>1</v>
      </c>
      <c r="H45" s="15">
        <v>1</v>
      </c>
      <c r="I45" s="6"/>
      <c r="J45" s="30"/>
      <c r="K45" s="15"/>
      <c r="L45" s="6"/>
      <c r="M45" s="30"/>
      <c r="N45" s="15"/>
      <c r="P45" s="30"/>
      <c r="S45" s="30"/>
      <c r="V45" s="30"/>
      <c r="Y45" s="30"/>
    </row>
    <row r="46" spans="1:25" x14ac:dyDescent="0.25">
      <c r="A46" s="6">
        <v>10002</v>
      </c>
      <c r="B46" s="18" t="s">
        <v>377</v>
      </c>
      <c r="C46" s="23" t="s">
        <v>436</v>
      </c>
      <c r="D46" s="6">
        <v>10002</v>
      </c>
      <c r="E46" s="6" t="s">
        <v>235</v>
      </c>
      <c r="F46" s="6" t="s">
        <v>422</v>
      </c>
      <c r="G46" s="30" t="s">
        <v>432</v>
      </c>
      <c r="H46" s="15">
        <v>1</v>
      </c>
      <c r="I46" s="6"/>
      <c r="J46" s="30"/>
      <c r="K46" s="15"/>
      <c r="L46" s="6"/>
      <c r="M46" s="30"/>
      <c r="N46" s="15"/>
      <c r="P46" s="30"/>
      <c r="S46" s="30"/>
      <c r="V46" s="30"/>
      <c r="Y46" s="30"/>
    </row>
    <row r="47" spans="1:25" x14ac:dyDescent="0.25">
      <c r="A47" s="6">
        <v>10003</v>
      </c>
      <c r="B47" s="18" t="s">
        <v>378</v>
      </c>
      <c r="C47" s="23" t="s">
        <v>437</v>
      </c>
      <c r="D47" s="6">
        <v>10003</v>
      </c>
      <c r="E47" s="6" t="s">
        <v>235</v>
      </c>
      <c r="F47" s="6" t="s">
        <v>251</v>
      </c>
      <c r="G47" s="30" t="s">
        <v>438</v>
      </c>
      <c r="H47" s="15">
        <v>1</v>
      </c>
      <c r="I47" s="6" t="s">
        <v>422</v>
      </c>
      <c r="J47" s="30" t="s">
        <v>439</v>
      </c>
      <c r="K47" s="15">
        <v>1</v>
      </c>
      <c r="L47" s="6"/>
      <c r="M47" s="30"/>
      <c r="N47" s="15"/>
      <c r="P47" s="30"/>
      <c r="S47" s="30"/>
      <c r="V47" s="30"/>
      <c r="Y47" s="30"/>
    </row>
    <row r="48" spans="1:25" x14ac:dyDescent="0.25">
      <c r="A48" s="6">
        <v>10004</v>
      </c>
      <c r="B48" s="18" t="s">
        <v>379</v>
      </c>
      <c r="C48" s="23" t="s">
        <v>436</v>
      </c>
      <c r="D48" s="6">
        <v>10004</v>
      </c>
      <c r="E48" s="6" t="s">
        <v>235</v>
      </c>
      <c r="F48" s="6" t="s">
        <v>422</v>
      </c>
      <c r="G48" s="30" t="s">
        <v>441</v>
      </c>
      <c r="H48" s="15">
        <v>1</v>
      </c>
      <c r="I48" s="6"/>
      <c r="J48" s="30"/>
      <c r="K48" s="15"/>
      <c r="L48" s="6"/>
      <c r="M48" s="30"/>
      <c r="N48" s="15"/>
      <c r="P48" s="30"/>
      <c r="S48" s="30"/>
      <c r="V48" s="30"/>
      <c r="Y48" s="30"/>
    </row>
    <row r="49" spans="1:25" x14ac:dyDescent="0.25">
      <c r="A49" s="6">
        <v>10005</v>
      </c>
      <c r="B49" s="18" t="s">
        <v>380</v>
      </c>
      <c r="C49" s="23" t="s">
        <v>449</v>
      </c>
      <c r="D49" s="6">
        <v>10005</v>
      </c>
      <c r="E49" s="6" t="s">
        <v>235</v>
      </c>
      <c r="F49" s="6" t="s">
        <v>445</v>
      </c>
      <c r="G49" s="30" t="s">
        <v>441</v>
      </c>
      <c r="H49" s="15">
        <v>1</v>
      </c>
      <c r="I49" s="6"/>
      <c r="J49" s="30"/>
      <c r="K49" s="15"/>
      <c r="L49" s="6"/>
      <c r="M49" s="30"/>
      <c r="N49" s="15"/>
      <c r="P49" s="30"/>
      <c r="S49" s="30"/>
      <c r="V49" s="30"/>
      <c r="Y49" s="30"/>
    </row>
    <row r="50" spans="1:25" x14ac:dyDescent="0.25">
      <c r="A50" s="6">
        <v>10006</v>
      </c>
      <c r="B50" s="18" t="s">
        <v>381</v>
      </c>
      <c r="C50" s="23" t="s">
        <v>444</v>
      </c>
      <c r="D50" s="6">
        <v>10006</v>
      </c>
      <c r="E50" s="6" t="s">
        <v>235</v>
      </c>
      <c r="F50" s="6" t="s">
        <v>442</v>
      </c>
      <c r="G50" s="30" t="s">
        <v>441</v>
      </c>
      <c r="H50" s="15">
        <v>1</v>
      </c>
      <c r="I50" s="6"/>
      <c r="J50" s="30"/>
      <c r="K50" s="15"/>
      <c r="L50" s="6"/>
      <c r="M50" s="30"/>
      <c r="N50" s="15"/>
      <c r="P50" s="30"/>
      <c r="S50" s="30"/>
      <c r="V50" s="30"/>
      <c r="Y50" s="30"/>
    </row>
    <row r="51" spans="1:25" x14ac:dyDescent="0.25">
      <c r="A51" s="6">
        <v>10007</v>
      </c>
      <c r="B51" s="18" t="s">
        <v>382</v>
      </c>
      <c r="C51" s="23" t="s">
        <v>450</v>
      </c>
      <c r="D51" s="6">
        <v>10007</v>
      </c>
      <c r="E51" s="6" t="s">
        <v>235</v>
      </c>
      <c r="F51" s="6" t="s">
        <v>445</v>
      </c>
      <c r="G51" s="30" t="s">
        <v>451</v>
      </c>
      <c r="H51" s="15">
        <v>1</v>
      </c>
      <c r="I51" s="6" t="s">
        <v>442</v>
      </c>
      <c r="J51" s="30" t="s">
        <v>451</v>
      </c>
      <c r="K51" s="15">
        <v>1</v>
      </c>
      <c r="L51" s="6"/>
      <c r="M51" s="30"/>
      <c r="N51" s="15"/>
      <c r="P51" s="30"/>
      <c r="S51" s="30"/>
      <c r="V51" s="30"/>
      <c r="Y51" s="30"/>
    </row>
    <row r="52" spans="1:25" x14ac:dyDescent="0.25">
      <c r="A52" s="6">
        <v>10008</v>
      </c>
      <c r="B52" s="18" t="s">
        <v>383</v>
      </c>
      <c r="C52" s="23" t="s">
        <v>304</v>
      </c>
      <c r="D52" s="6">
        <v>10008</v>
      </c>
      <c r="E52" s="6" t="s">
        <v>235</v>
      </c>
      <c r="F52" s="6" t="s">
        <v>452</v>
      </c>
      <c r="G52" s="30" t="s">
        <v>455</v>
      </c>
      <c r="H52" s="15">
        <v>1</v>
      </c>
      <c r="I52" s="6"/>
      <c r="J52" s="30"/>
      <c r="K52" s="15"/>
      <c r="L52" s="6"/>
      <c r="M52" s="30"/>
      <c r="N52" s="15"/>
      <c r="P52" s="30"/>
      <c r="S52" s="30"/>
      <c r="V52" s="30"/>
      <c r="Y52" s="30"/>
    </row>
    <row r="53" spans="1:25" x14ac:dyDescent="0.25">
      <c r="A53" s="6">
        <v>10009</v>
      </c>
      <c r="B53" s="18" t="s">
        <v>384</v>
      </c>
      <c r="C53" s="23" t="s">
        <v>462</v>
      </c>
      <c r="D53" s="6">
        <v>10009</v>
      </c>
      <c r="E53" s="6" t="s">
        <v>235</v>
      </c>
      <c r="F53" s="6" t="s">
        <v>456</v>
      </c>
      <c r="G53" s="30" t="s">
        <v>455</v>
      </c>
      <c r="H53" s="15">
        <v>1</v>
      </c>
      <c r="I53" s="6"/>
      <c r="J53" s="30"/>
      <c r="K53" s="15"/>
      <c r="L53" s="6"/>
      <c r="M53" s="30"/>
      <c r="N53" s="15"/>
      <c r="P53" s="30"/>
      <c r="S53" s="30"/>
      <c r="V53" s="30"/>
      <c r="Y53" s="30"/>
    </row>
    <row r="54" spans="1:25" x14ac:dyDescent="0.25">
      <c r="A54" s="6">
        <v>10010</v>
      </c>
      <c r="B54" s="18" t="s">
        <v>385</v>
      </c>
      <c r="C54" s="23" t="s">
        <v>463</v>
      </c>
      <c r="D54" s="6">
        <v>10010</v>
      </c>
      <c r="E54" s="6" t="s">
        <v>235</v>
      </c>
      <c r="F54" s="6" t="s">
        <v>458</v>
      </c>
      <c r="G54" s="30" t="s">
        <v>455</v>
      </c>
      <c r="H54" s="15">
        <v>1</v>
      </c>
      <c r="I54" s="6"/>
      <c r="J54" s="30"/>
      <c r="K54" s="15"/>
      <c r="L54" s="6"/>
      <c r="M54" s="30"/>
      <c r="N54" s="15"/>
      <c r="P54" s="30"/>
      <c r="S54" s="30"/>
      <c r="V54" s="30"/>
      <c r="Y54" s="30"/>
    </row>
    <row r="55" spans="1:25" x14ac:dyDescent="0.25">
      <c r="A55" s="6">
        <v>10011</v>
      </c>
      <c r="B55" s="18" t="s">
        <v>386</v>
      </c>
      <c r="C55" s="23" t="s">
        <v>466</v>
      </c>
      <c r="D55" s="6">
        <v>10011</v>
      </c>
      <c r="E55" s="6" t="s">
        <v>235</v>
      </c>
      <c r="F55" s="6" t="s">
        <v>464</v>
      </c>
      <c r="G55" s="30" t="s">
        <v>438</v>
      </c>
      <c r="H55" s="15">
        <v>1</v>
      </c>
      <c r="I55" s="6"/>
      <c r="J55" s="30"/>
      <c r="K55" s="15"/>
      <c r="L55" s="6"/>
      <c r="M55" s="30"/>
      <c r="N55" s="15"/>
      <c r="P55" s="30"/>
      <c r="S55" s="30"/>
      <c r="V55" s="30"/>
      <c r="Y55" s="30"/>
    </row>
    <row r="56" spans="1:25" x14ac:dyDescent="0.25">
      <c r="C56" s="23"/>
      <c r="D56" s="6"/>
      <c r="E56" s="6"/>
      <c r="F56" s="6"/>
      <c r="G56" s="30"/>
      <c r="H56" s="15"/>
      <c r="I56" s="6"/>
      <c r="J56" s="30"/>
      <c r="K56" s="15"/>
      <c r="L56" s="6"/>
      <c r="M56" s="30"/>
      <c r="N56" s="15"/>
      <c r="P56" s="30"/>
      <c r="S56" s="30"/>
      <c r="V56" s="30"/>
      <c r="Y56" s="30"/>
    </row>
    <row r="57" spans="1:25" x14ac:dyDescent="0.25">
      <c r="B57" s="18" t="s">
        <v>387</v>
      </c>
      <c r="C57" s="23"/>
      <c r="D57" s="6"/>
      <c r="E57" s="6"/>
      <c r="F57" s="6"/>
      <c r="G57" s="30"/>
      <c r="H57" s="15"/>
      <c r="I57" s="6"/>
      <c r="J57" s="30"/>
      <c r="K57" s="15"/>
      <c r="L57" s="6"/>
      <c r="M57" s="30"/>
      <c r="N57" s="15"/>
      <c r="P57" s="30"/>
      <c r="S57" s="30"/>
      <c r="V57" s="30"/>
      <c r="Y57" s="30"/>
    </row>
    <row r="58" spans="1:25" x14ac:dyDescent="0.25">
      <c r="A58" s="6">
        <v>10101</v>
      </c>
      <c r="B58" s="18" t="s">
        <v>388</v>
      </c>
      <c r="C58" s="23" t="s">
        <v>470</v>
      </c>
      <c r="D58" s="6">
        <v>10101</v>
      </c>
      <c r="E58" s="6" t="s">
        <v>235</v>
      </c>
      <c r="F58" s="6" t="s">
        <v>467</v>
      </c>
      <c r="G58" s="30" t="s">
        <v>469</v>
      </c>
      <c r="H58" s="15">
        <v>1</v>
      </c>
      <c r="I58" s="6"/>
      <c r="J58" s="30"/>
      <c r="K58" s="15"/>
      <c r="L58" s="6"/>
      <c r="M58" s="30"/>
      <c r="N58" s="15"/>
      <c r="P58" s="30"/>
      <c r="S58" s="30"/>
      <c r="V58" s="30"/>
      <c r="Y58" s="30"/>
    </row>
    <row r="59" spans="1:25" x14ac:dyDescent="0.25">
      <c r="A59" s="6">
        <v>10102</v>
      </c>
      <c r="B59" s="18" t="s">
        <v>311</v>
      </c>
      <c r="C59" s="23" t="s">
        <v>605</v>
      </c>
      <c r="D59" s="6">
        <v>10102</v>
      </c>
      <c r="E59" s="6" t="s">
        <v>235</v>
      </c>
      <c r="F59" s="6" t="s">
        <v>596</v>
      </c>
      <c r="G59" s="30" t="s">
        <v>592</v>
      </c>
      <c r="H59" s="15">
        <v>1</v>
      </c>
      <c r="I59" s="6"/>
      <c r="J59" s="30"/>
      <c r="K59" s="15"/>
      <c r="L59" s="6"/>
      <c r="M59" s="30"/>
      <c r="N59" s="15"/>
      <c r="P59" s="30"/>
      <c r="S59" s="30"/>
      <c r="V59" s="30"/>
      <c r="Y59" s="30"/>
    </row>
    <row r="60" spans="1:25" x14ac:dyDescent="0.25">
      <c r="A60" s="6">
        <v>10104</v>
      </c>
      <c r="B60" s="18" t="s">
        <v>389</v>
      </c>
      <c r="C60" s="23" t="s">
        <v>475</v>
      </c>
      <c r="D60" s="6">
        <v>10104</v>
      </c>
      <c r="E60" s="6" t="s">
        <v>235</v>
      </c>
      <c r="F60" s="6" t="s">
        <v>477</v>
      </c>
      <c r="G60" s="30" t="s">
        <v>455</v>
      </c>
      <c r="H60" s="15">
        <v>1</v>
      </c>
      <c r="I60" s="6"/>
      <c r="J60" s="30"/>
      <c r="K60" s="15"/>
      <c r="L60" s="6"/>
      <c r="M60" s="30"/>
      <c r="N60" s="15"/>
      <c r="P60" s="30"/>
      <c r="S60" s="30"/>
      <c r="V60" s="30"/>
      <c r="Y60" s="30"/>
    </row>
    <row r="61" spans="1:25" x14ac:dyDescent="0.25">
      <c r="A61" s="6">
        <v>10105</v>
      </c>
      <c r="B61" s="18" t="s">
        <v>390</v>
      </c>
      <c r="C61" s="23" t="s">
        <v>480</v>
      </c>
      <c r="D61" s="6">
        <v>10105</v>
      </c>
      <c r="E61" s="6" t="s">
        <v>235</v>
      </c>
      <c r="F61" s="6" t="s">
        <v>191</v>
      </c>
      <c r="G61" s="30" t="s">
        <v>438</v>
      </c>
      <c r="H61" s="15">
        <v>1</v>
      </c>
      <c r="I61" s="6"/>
      <c r="J61" s="30"/>
      <c r="K61" s="15"/>
      <c r="L61" s="6"/>
      <c r="M61" s="30"/>
      <c r="N61" s="15"/>
      <c r="P61" s="30"/>
      <c r="S61" s="30"/>
      <c r="V61" s="30"/>
      <c r="Y61" s="30"/>
    </row>
    <row r="62" spans="1:25" x14ac:dyDescent="0.25">
      <c r="A62" s="6">
        <v>10106</v>
      </c>
      <c r="B62" s="18" t="s">
        <v>313</v>
      </c>
      <c r="C62" s="23" t="s">
        <v>594</v>
      </c>
      <c r="D62" s="6">
        <v>10106</v>
      </c>
      <c r="E62" s="6" t="s">
        <v>235</v>
      </c>
      <c r="F62" s="6" t="s">
        <v>598</v>
      </c>
      <c r="G62" s="30" t="s">
        <v>469</v>
      </c>
      <c r="H62" s="15">
        <v>1</v>
      </c>
      <c r="I62" s="6"/>
      <c r="J62" s="30"/>
      <c r="K62" s="15"/>
      <c r="L62" s="6"/>
      <c r="M62" s="30"/>
      <c r="N62" s="15"/>
      <c r="P62" s="30"/>
      <c r="S62" s="30"/>
      <c r="V62" s="30"/>
      <c r="Y62" s="30"/>
    </row>
    <row r="63" spans="1:25" x14ac:dyDescent="0.25">
      <c r="A63" s="6">
        <v>10107</v>
      </c>
      <c r="B63" s="18" t="s">
        <v>391</v>
      </c>
      <c r="C63" s="23" t="s">
        <v>483</v>
      </c>
      <c r="D63" s="6">
        <v>10107</v>
      </c>
      <c r="E63" s="6" t="s">
        <v>235</v>
      </c>
      <c r="F63" s="6" t="s">
        <v>481</v>
      </c>
      <c r="G63" s="30" t="s">
        <v>455</v>
      </c>
      <c r="H63" s="15">
        <v>1</v>
      </c>
      <c r="I63" s="6"/>
      <c r="J63" s="30"/>
      <c r="K63" s="15"/>
      <c r="L63" s="6"/>
      <c r="M63" s="30"/>
      <c r="N63" s="15"/>
      <c r="P63" s="30"/>
      <c r="S63" s="30"/>
      <c r="V63" s="30"/>
      <c r="Y63" s="30"/>
    </row>
    <row r="64" spans="1:25" x14ac:dyDescent="0.25">
      <c r="A64" s="6">
        <v>10108</v>
      </c>
      <c r="B64" s="18" t="s">
        <v>392</v>
      </c>
      <c r="C64" s="23" t="s">
        <v>410</v>
      </c>
      <c r="D64" s="6">
        <v>10108</v>
      </c>
      <c r="E64" s="6" t="s">
        <v>235</v>
      </c>
      <c r="F64" s="6" t="s">
        <v>485</v>
      </c>
      <c r="G64" s="30" t="s">
        <v>441</v>
      </c>
      <c r="H64" s="15">
        <v>1</v>
      </c>
      <c r="I64" s="6"/>
      <c r="J64" s="30"/>
      <c r="K64" s="15"/>
      <c r="L64" s="6"/>
      <c r="M64" s="30"/>
      <c r="N64" s="15"/>
      <c r="P64" s="30"/>
      <c r="S64" s="30"/>
      <c r="V64" s="30"/>
      <c r="Y64" s="30"/>
    </row>
    <row r="65" spans="1:25" x14ac:dyDescent="0.25">
      <c r="A65" s="6">
        <v>10109</v>
      </c>
      <c r="B65" s="18" t="s">
        <v>393</v>
      </c>
      <c r="C65" s="23" t="s">
        <v>490</v>
      </c>
      <c r="D65" s="6">
        <v>10109</v>
      </c>
      <c r="E65" s="6" t="s">
        <v>235</v>
      </c>
      <c r="F65" s="6" t="s">
        <v>488</v>
      </c>
      <c r="G65" s="30" t="s">
        <v>455</v>
      </c>
      <c r="H65" s="15">
        <v>1</v>
      </c>
      <c r="I65" s="6"/>
      <c r="J65" s="30"/>
      <c r="K65" s="15"/>
      <c r="L65" s="6"/>
      <c r="M65" s="30"/>
      <c r="N65" s="15"/>
      <c r="P65" s="30"/>
      <c r="S65" s="30"/>
      <c r="V65" s="30"/>
      <c r="Y65" s="30"/>
    </row>
    <row r="66" spans="1:25" x14ac:dyDescent="0.25">
      <c r="A66" s="6">
        <v>10110</v>
      </c>
      <c r="B66" s="18" t="s">
        <v>394</v>
      </c>
      <c r="C66" s="23" t="s">
        <v>411</v>
      </c>
      <c r="D66" s="6">
        <v>10110</v>
      </c>
      <c r="E66" s="6" t="s">
        <v>211</v>
      </c>
      <c r="F66" s="6" t="s">
        <v>230</v>
      </c>
      <c r="G66" s="30" t="s">
        <v>434</v>
      </c>
      <c r="H66" s="15">
        <v>1</v>
      </c>
      <c r="I66" s="6"/>
      <c r="J66" s="30"/>
      <c r="K66" s="15"/>
      <c r="L66" s="6"/>
      <c r="M66" s="30"/>
      <c r="N66" s="15"/>
      <c r="P66" s="30"/>
      <c r="S66" s="30"/>
      <c r="V66" s="30"/>
      <c r="Y66" s="30"/>
    </row>
    <row r="67" spans="1:25" x14ac:dyDescent="0.25">
      <c r="C67" s="23"/>
      <c r="D67" s="6"/>
      <c r="E67" s="6"/>
      <c r="F67" s="6"/>
      <c r="G67" s="30"/>
      <c r="H67" s="15"/>
      <c r="I67" s="6"/>
      <c r="J67" s="30"/>
      <c r="K67" s="15"/>
      <c r="L67" s="6"/>
      <c r="M67" s="30"/>
      <c r="N67" s="15"/>
      <c r="P67" s="30"/>
      <c r="S67" s="30"/>
      <c r="V67" s="30"/>
      <c r="Y67" s="30"/>
    </row>
    <row r="68" spans="1:25" x14ac:dyDescent="0.25">
      <c r="B68" s="18" t="s">
        <v>395</v>
      </c>
      <c r="C68" s="23"/>
      <c r="D68" s="6"/>
      <c r="E68" s="6"/>
      <c r="F68" s="6"/>
      <c r="G68" s="30"/>
      <c r="H68" s="15"/>
      <c r="I68" s="6"/>
      <c r="J68" s="30"/>
      <c r="K68" s="15"/>
      <c r="L68" s="6"/>
      <c r="M68" s="30"/>
      <c r="N68" s="15"/>
      <c r="P68" s="30"/>
      <c r="S68" s="30"/>
      <c r="V68" s="30"/>
      <c r="Y68" s="30"/>
    </row>
    <row r="69" spans="1:25" x14ac:dyDescent="0.25">
      <c r="A69" s="6">
        <v>10201</v>
      </c>
      <c r="B69" s="18" t="s">
        <v>396</v>
      </c>
      <c r="C69" s="23" t="s">
        <v>603</v>
      </c>
      <c r="D69" s="6">
        <v>10201</v>
      </c>
      <c r="E69" s="6" t="s">
        <v>235</v>
      </c>
      <c r="F69" s="6" t="s">
        <v>601</v>
      </c>
      <c r="G69" s="30" t="s">
        <v>472</v>
      </c>
      <c r="H69" s="15">
        <v>1</v>
      </c>
      <c r="I69" s="6"/>
      <c r="J69" s="30"/>
      <c r="K69" s="15"/>
      <c r="L69" s="6"/>
      <c r="M69" s="30"/>
      <c r="N69" s="15"/>
      <c r="P69" s="30"/>
      <c r="S69" s="30"/>
      <c r="V69" s="30"/>
      <c r="Y69" s="30"/>
    </row>
    <row r="70" spans="1:25" x14ac:dyDescent="0.25">
      <c r="A70" s="6">
        <v>10202</v>
      </c>
      <c r="B70" s="18" t="s">
        <v>328</v>
      </c>
      <c r="C70" s="23" t="s">
        <v>329</v>
      </c>
      <c r="D70" s="6">
        <v>10202</v>
      </c>
      <c r="E70" s="6" t="s">
        <v>235</v>
      </c>
      <c r="F70" s="6" t="s">
        <v>580</v>
      </c>
      <c r="G70" s="30" t="s">
        <v>455</v>
      </c>
      <c r="H70" s="15">
        <v>1</v>
      </c>
      <c r="I70" s="6"/>
      <c r="J70" s="30"/>
      <c r="K70" s="15"/>
      <c r="L70" s="6"/>
      <c r="M70" s="30"/>
      <c r="N70" s="15"/>
      <c r="P70" s="30"/>
      <c r="S70" s="30"/>
      <c r="V70" s="30"/>
      <c r="Y70" s="30"/>
    </row>
    <row r="71" spans="1:25" x14ac:dyDescent="0.25">
      <c r="A71" s="6">
        <v>10203</v>
      </c>
      <c r="B71" s="18" t="s">
        <v>397</v>
      </c>
      <c r="C71" s="23" t="s">
        <v>412</v>
      </c>
      <c r="D71" s="6">
        <v>10203</v>
      </c>
      <c r="E71" s="6" t="s">
        <v>211</v>
      </c>
      <c r="F71" s="6" t="s">
        <v>528</v>
      </c>
      <c r="G71" s="30" t="s">
        <v>508</v>
      </c>
      <c r="H71" s="15">
        <v>1</v>
      </c>
      <c r="I71" s="6"/>
      <c r="J71" s="30"/>
      <c r="K71" s="15"/>
      <c r="L71" s="6"/>
      <c r="M71" s="30"/>
      <c r="N71" s="15"/>
      <c r="P71" s="30"/>
      <c r="S71" s="30"/>
      <c r="V71" s="30"/>
      <c r="Y71" s="30"/>
    </row>
    <row r="72" spans="1:25" x14ac:dyDescent="0.25">
      <c r="A72" s="6">
        <v>10204</v>
      </c>
      <c r="B72" s="18" t="s">
        <v>494</v>
      </c>
      <c r="C72" s="23" t="s">
        <v>332</v>
      </c>
      <c r="D72" s="6">
        <v>10204</v>
      </c>
      <c r="E72" s="6" t="s">
        <v>235</v>
      </c>
      <c r="F72" s="6" t="s">
        <v>255</v>
      </c>
      <c r="G72" s="30" t="s">
        <v>438</v>
      </c>
      <c r="H72" s="15">
        <v>1</v>
      </c>
      <c r="I72" s="6"/>
      <c r="J72" s="30"/>
      <c r="K72" s="15"/>
      <c r="L72" s="6"/>
      <c r="M72" s="30"/>
      <c r="N72" s="15"/>
      <c r="P72" s="30"/>
      <c r="S72" s="30"/>
      <c r="V72" s="30"/>
      <c r="Y72" s="30"/>
    </row>
    <row r="73" spans="1:25" x14ac:dyDescent="0.25">
      <c r="A73" s="6">
        <v>10205</v>
      </c>
      <c r="B73" s="18" t="s">
        <v>341</v>
      </c>
      <c r="C73" s="23" t="s">
        <v>362</v>
      </c>
      <c r="D73" s="6">
        <v>10205</v>
      </c>
      <c r="E73" s="6" t="s">
        <v>235</v>
      </c>
      <c r="F73" s="6" t="s">
        <v>496</v>
      </c>
      <c r="G73" s="30" t="s">
        <v>438</v>
      </c>
      <c r="H73" s="15">
        <v>1</v>
      </c>
      <c r="I73" s="6"/>
      <c r="J73" s="30"/>
      <c r="K73" s="15"/>
      <c r="L73" s="6"/>
      <c r="M73" s="30"/>
      <c r="N73" s="15"/>
      <c r="P73" s="30"/>
      <c r="S73" s="30"/>
      <c r="V73" s="30"/>
      <c r="Y73" s="30"/>
    </row>
    <row r="74" spans="1:25" x14ac:dyDescent="0.25">
      <c r="A74" s="6">
        <v>10206</v>
      </c>
      <c r="B74" s="18" t="s">
        <v>398</v>
      </c>
      <c r="C74" s="23" t="s">
        <v>413</v>
      </c>
      <c r="D74" s="6">
        <v>10206</v>
      </c>
      <c r="E74" s="6" t="s">
        <v>235</v>
      </c>
      <c r="F74" s="6" t="s">
        <v>498</v>
      </c>
      <c r="G74" s="30" t="s">
        <v>469</v>
      </c>
      <c r="H74" s="15">
        <v>1</v>
      </c>
      <c r="I74" s="6"/>
      <c r="J74" s="30"/>
      <c r="K74" s="15"/>
      <c r="L74" s="6"/>
      <c r="M74" s="30"/>
      <c r="N74" s="15"/>
      <c r="P74" s="30"/>
      <c r="S74" s="30"/>
      <c r="V74" s="30"/>
      <c r="Y74" s="30"/>
    </row>
    <row r="75" spans="1:25" x14ac:dyDescent="0.25">
      <c r="A75" s="6">
        <v>10207</v>
      </c>
      <c r="B75" s="18" t="s">
        <v>503</v>
      </c>
      <c r="C75" s="23" t="s">
        <v>431</v>
      </c>
      <c r="D75" s="6">
        <v>10207</v>
      </c>
      <c r="E75" s="6" t="s">
        <v>235</v>
      </c>
      <c r="F75" s="6" t="s">
        <v>501</v>
      </c>
      <c r="G75" s="30" t="s">
        <v>505</v>
      </c>
      <c r="H75" s="15">
        <v>1</v>
      </c>
      <c r="I75" s="6"/>
      <c r="J75" s="30"/>
      <c r="K75" s="15"/>
      <c r="L75" s="6"/>
      <c r="M75" s="30"/>
      <c r="N75" s="15"/>
      <c r="P75" s="30"/>
      <c r="S75" s="30"/>
      <c r="V75" s="30"/>
      <c r="Y75" s="30"/>
    </row>
    <row r="76" spans="1:25" x14ac:dyDescent="0.25">
      <c r="A76" s="6">
        <v>10208</v>
      </c>
      <c r="B76" s="18" t="s">
        <v>399</v>
      </c>
      <c r="C76" s="23" t="s">
        <v>414</v>
      </c>
      <c r="D76" s="6">
        <v>10208</v>
      </c>
      <c r="E76" s="6" t="s">
        <v>235</v>
      </c>
      <c r="F76" s="6" t="s">
        <v>491</v>
      </c>
      <c r="G76" s="30" t="s">
        <v>441</v>
      </c>
      <c r="H76" s="15">
        <v>1</v>
      </c>
      <c r="I76" s="6"/>
      <c r="J76" s="30"/>
      <c r="K76" s="15"/>
      <c r="L76" s="6"/>
      <c r="M76" s="30"/>
      <c r="N76" s="15"/>
      <c r="P76" s="30"/>
      <c r="S76" s="30"/>
      <c r="V76" s="30"/>
      <c r="Y76" s="30"/>
    </row>
    <row r="77" spans="1:25" x14ac:dyDescent="0.25">
      <c r="A77" s="6">
        <v>10209</v>
      </c>
      <c r="B77" s="18" t="s">
        <v>400</v>
      </c>
      <c r="C77" s="23" t="s">
        <v>415</v>
      </c>
      <c r="D77" s="6">
        <v>10209</v>
      </c>
      <c r="E77" s="6" t="s">
        <v>235</v>
      </c>
      <c r="F77" s="6" t="s">
        <v>423</v>
      </c>
      <c r="G77" s="30" t="s">
        <v>506</v>
      </c>
      <c r="H77" s="15">
        <v>1</v>
      </c>
      <c r="I77" s="6"/>
      <c r="J77" s="30"/>
      <c r="K77" s="15"/>
      <c r="L77" s="6"/>
      <c r="M77" s="30"/>
      <c r="N77" s="15"/>
      <c r="P77" s="30"/>
      <c r="S77" s="30"/>
      <c r="V77" s="30"/>
      <c r="Y77" s="30"/>
    </row>
    <row r="78" spans="1:25" x14ac:dyDescent="0.25">
      <c r="A78" s="6">
        <v>10210</v>
      </c>
      <c r="B78" s="18" t="s">
        <v>401</v>
      </c>
      <c r="C78" s="23" t="s">
        <v>344</v>
      </c>
      <c r="D78" s="6">
        <v>10210</v>
      </c>
      <c r="E78" s="6" t="s">
        <v>211</v>
      </c>
      <c r="F78" s="6" t="s">
        <v>528</v>
      </c>
      <c r="G78" s="30" t="s">
        <v>507</v>
      </c>
      <c r="H78" s="15">
        <v>1</v>
      </c>
      <c r="I78" s="6"/>
      <c r="J78" s="30"/>
      <c r="K78" s="15"/>
      <c r="L78" s="6"/>
      <c r="M78" s="30"/>
      <c r="N78" s="15"/>
      <c r="P78" s="30"/>
      <c r="S78" s="30"/>
      <c r="V78" s="30"/>
      <c r="Y78" s="30"/>
    </row>
    <row r="79" spans="1:25" x14ac:dyDescent="0.25">
      <c r="A79" s="6">
        <v>10211</v>
      </c>
      <c r="B79" s="18" t="s">
        <v>402</v>
      </c>
      <c r="C79" s="23" t="s">
        <v>509</v>
      </c>
      <c r="D79" s="6">
        <v>10211</v>
      </c>
      <c r="E79" s="6" t="s">
        <v>211</v>
      </c>
      <c r="F79" s="6" t="s">
        <v>528</v>
      </c>
      <c r="G79" s="30" t="s">
        <v>508</v>
      </c>
      <c r="H79" s="15">
        <v>1</v>
      </c>
      <c r="I79" s="6" t="s">
        <v>445</v>
      </c>
      <c r="J79" s="30">
        <v>-20</v>
      </c>
      <c r="K79" s="15">
        <v>1</v>
      </c>
      <c r="L79" s="6" t="s">
        <v>442</v>
      </c>
      <c r="M79" s="30">
        <v>-20</v>
      </c>
      <c r="N79" s="15">
        <v>1</v>
      </c>
      <c r="P79" s="30"/>
      <c r="S79" s="30"/>
      <c r="V79" s="30"/>
      <c r="Y79" s="30"/>
    </row>
    <row r="80" spans="1:25" x14ac:dyDescent="0.25">
      <c r="C80" s="23"/>
      <c r="D80" s="6"/>
      <c r="E80" s="6"/>
      <c r="F80" s="6"/>
      <c r="G80" s="30"/>
      <c r="H80" s="15"/>
      <c r="I80" s="6"/>
      <c r="J80" s="30"/>
      <c r="K80" s="15"/>
      <c r="L80" s="6"/>
      <c r="M80" s="30"/>
      <c r="N80" s="15"/>
      <c r="P80" s="30"/>
      <c r="S80" s="30"/>
      <c r="V80" s="30"/>
      <c r="Y80" s="30"/>
    </row>
    <row r="81" spans="1:25" x14ac:dyDescent="0.25">
      <c r="B81" s="18" t="s">
        <v>403</v>
      </c>
      <c r="C81" s="23"/>
      <c r="D81" s="6"/>
      <c r="E81" s="6"/>
      <c r="F81" s="6"/>
      <c r="G81" s="30"/>
      <c r="H81" s="15"/>
      <c r="I81" s="6"/>
      <c r="J81" s="30"/>
      <c r="K81" s="15"/>
      <c r="L81" s="6"/>
      <c r="M81" s="30"/>
      <c r="N81" s="15"/>
      <c r="P81" s="30"/>
      <c r="S81" s="30"/>
      <c r="V81" s="30"/>
      <c r="Y81" s="30"/>
    </row>
    <row r="82" spans="1:25" x14ac:dyDescent="0.25">
      <c r="A82" s="6">
        <v>10301</v>
      </c>
      <c r="B82" s="18" t="s">
        <v>404</v>
      </c>
      <c r="C82" s="23" t="s">
        <v>351</v>
      </c>
      <c r="D82" s="6">
        <v>10301</v>
      </c>
      <c r="E82" s="6" t="s">
        <v>235</v>
      </c>
      <c r="F82" s="6" t="s">
        <v>510</v>
      </c>
      <c r="G82" s="30" t="s">
        <v>469</v>
      </c>
      <c r="H82" s="15">
        <v>1</v>
      </c>
      <c r="I82" s="6"/>
      <c r="J82" s="30"/>
      <c r="K82" s="15"/>
      <c r="L82" s="6"/>
      <c r="M82" s="30"/>
      <c r="N82" s="15"/>
      <c r="P82" s="30"/>
      <c r="S82" s="30"/>
      <c r="V82" s="30"/>
      <c r="Y82" s="30"/>
    </row>
    <row r="83" spans="1:25" x14ac:dyDescent="0.25">
      <c r="A83" s="6">
        <v>10302</v>
      </c>
      <c r="B83" s="18" t="s">
        <v>405</v>
      </c>
      <c r="C83" s="23" t="s">
        <v>577</v>
      </c>
      <c r="D83" s="6">
        <v>10302</v>
      </c>
      <c r="E83" s="6" t="s">
        <v>235</v>
      </c>
      <c r="F83" s="6" t="s">
        <v>513</v>
      </c>
      <c r="G83" s="30" t="s">
        <v>451</v>
      </c>
      <c r="H83" s="15">
        <v>1</v>
      </c>
      <c r="I83" s="6"/>
      <c r="J83" s="30"/>
      <c r="K83" s="15"/>
      <c r="L83" s="6"/>
      <c r="M83" s="30"/>
      <c r="N83" s="15"/>
      <c r="P83" s="30"/>
      <c r="S83" s="30"/>
      <c r="V83" s="30"/>
      <c r="Y83" s="30"/>
    </row>
    <row r="84" spans="1:25" x14ac:dyDescent="0.25">
      <c r="A84" s="6">
        <v>10303</v>
      </c>
      <c r="B84" s="18" t="s">
        <v>567</v>
      </c>
      <c r="C84" s="23" t="s">
        <v>353</v>
      </c>
      <c r="D84" s="6">
        <v>10303</v>
      </c>
      <c r="E84" s="6" t="s">
        <v>235</v>
      </c>
      <c r="F84" s="6" t="s">
        <v>514</v>
      </c>
      <c r="G84" s="30" t="s">
        <v>455</v>
      </c>
      <c r="H84" s="15">
        <v>1</v>
      </c>
      <c r="I84" s="6"/>
      <c r="J84" s="30"/>
      <c r="K84" s="15"/>
      <c r="L84" s="6"/>
      <c r="M84" s="30"/>
      <c r="N84" s="15"/>
      <c r="P84" s="30"/>
      <c r="S84" s="30"/>
      <c r="V84" s="30"/>
      <c r="Y84" s="30"/>
    </row>
    <row r="85" spans="1:25" x14ac:dyDescent="0.25">
      <c r="A85" s="6">
        <v>10304</v>
      </c>
      <c r="B85" s="18" t="s">
        <v>573</v>
      </c>
      <c r="C85" s="23" t="s">
        <v>576</v>
      </c>
      <c r="D85" s="6">
        <v>10304</v>
      </c>
      <c r="E85" s="6" t="s">
        <v>211</v>
      </c>
      <c r="F85" s="6" t="s">
        <v>251</v>
      </c>
      <c r="G85" s="30" t="s">
        <v>435</v>
      </c>
      <c r="H85" s="15">
        <v>1</v>
      </c>
      <c r="I85" s="6"/>
      <c r="J85" s="30"/>
      <c r="K85" s="15"/>
      <c r="L85" s="6"/>
      <c r="M85" s="30"/>
      <c r="N85" s="15"/>
      <c r="P85" s="30"/>
      <c r="S85" s="30"/>
      <c r="V85" s="30"/>
      <c r="Y85" s="30"/>
    </row>
    <row r="86" spans="1:25" x14ac:dyDescent="0.25">
      <c r="A86" s="6">
        <v>10305</v>
      </c>
      <c r="B86" s="18" t="s">
        <v>407</v>
      </c>
      <c r="C86" s="23" t="s">
        <v>416</v>
      </c>
      <c r="D86" s="6">
        <v>10305</v>
      </c>
      <c r="E86" s="6" t="s">
        <v>235</v>
      </c>
      <c r="F86" s="6" t="s">
        <v>582</v>
      </c>
      <c r="G86" s="30" t="s">
        <v>455</v>
      </c>
      <c r="H86" s="15">
        <v>1</v>
      </c>
      <c r="I86" s="6"/>
      <c r="J86" s="30"/>
      <c r="K86" s="15"/>
      <c r="L86" s="6"/>
      <c r="M86" s="30"/>
      <c r="N86" s="15"/>
      <c r="P86" s="30"/>
      <c r="S86" s="30"/>
      <c r="V86" s="30"/>
      <c r="Y86" s="30"/>
    </row>
    <row r="87" spans="1:25" x14ac:dyDescent="0.25">
      <c r="A87" s="6">
        <v>10306</v>
      </c>
      <c r="B87" s="18" t="s">
        <v>406</v>
      </c>
      <c r="C87" s="23" t="s">
        <v>566</v>
      </c>
      <c r="D87" s="6">
        <v>10306</v>
      </c>
      <c r="E87" s="6" t="s">
        <v>235</v>
      </c>
      <c r="F87" s="6" t="s">
        <v>571</v>
      </c>
      <c r="G87" s="30" t="s">
        <v>572</v>
      </c>
      <c r="H87" s="15">
        <v>1</v>
      </c>
      <c r="I87" s="6"/>
      <c r="J87" s="30"/>
      <c r="K87" s="15"/>
      <c r="L87" s="6"/>
      <c r="M87" s="30"/>
      <c r="N87" s="15"/>
      <c r="P87" s="30"/>
      <c r="S87" s="30"/>
      <c r="V87" s="30"/>
      <c r="Y87" s="30"/>
    </row>
    <row r="88" spans="1:25" x14ac:dyDescent="0.25">
      <c r="A88" s="6">
        <v>10307</v>
      </c>
      <c r="B88" s="18" t="s">
        <v>569</v>
      </c>
      <c r="C88" s="23" t="s">
        <v>519</v>
      </c>
      <c r="D88" s="6">
        <v>10307</v>
      </c>
      <c r="E88" s="6" t="s">
        <v>235</v>
      </c>
      <c r="F88" s="6" t="s">
        <v>521</v>
      </c>
      <c r="G88" s="30" t="s">
        <v>469</v>
      </c>
      <c r="H88" s="15">
        <v>1</v>
      </c>
      <c r="I88" s="6"/>
      <c r="J88" s="30"/>
      <c r="K88" s="15"/>
      <c r="L88" s="6"/>
      <c r="M88" s="30"/>
      <c r="N88" s="15"/>
      <c r="P88" s="30"/>
      <c r="S88" s="30"/>
      <c r="V88" s="30"/>
      <c r="Y88" s="30"/>
    </row>
    <row r="89" spans="1:25" x14ac:dyDescent="0.25">
      <c r="A89" s="6">
        <v>10308</v>
      </c>
      <c r="B89" s="18" t="s">
        <v>408</v>
      </c>
      <c r="C89" s="23" t="s">
        <v>417</v>
      </c>
      <c r="D89" s="6">
        <v>10308</v>
      </c>
      <c r="E89" s="6" t="s">
        <v>235</v>
      </c>
      <c r="F89" s="6" t="s">
        <v>230</v>
      </c>
      <c r="G89" s="30" t="s">
        <v>434</v>
      </c>
      <c r="H89" s="15">
        <v>1</v>
      </c>
      <c r="I89" s="6"/>
      <c r="J89" s="30"/>
      <c r="K89" s="15"/>
      <c r="L89" s="6"/>
      <c r="M89" s="30"/>
      <c r="N89" s="15"/>
      <c r="P89" s="30"/>
      <c r="S89" s="30"/>
      <c r="V89" s="30"/>
      <c r="Y89" s="30"/>
    </row>
    <row r="90" spans="1:25" x14ac:dyDescent="0.25">
      <c r="A90" s="6">
        <v>10309</v>
      </c>
      <c r="B90" s="18" t="s">
        <v>409</v>
      </c>
      <c r="C90" s="23" t="s">
        <v>356</v>
      </c>
      <c r="D90" s="6">
        <v>10309</v>
      </c>
      <c r="E90" s="6" t="s">
        <v>235</v>
      </c>
      <c r="F90" s="6" t="s">
        <v>585</v>
      </c>
      <c r="G90" s="30" t="s">
        <v>587</v>
      </c>
      <c r="H90" s="15">
        <v>1</v>
      </c>
      <c r="I90" s="6"/>
      <c r="J90" s="30"/>
      <c r="K90" s="15"/>
      <c r="L90" s="6"/>
      <c r="M90" s="30"/>
      <c r="N90" s="15"/>
      <c r="P90" s="30"/>
      <c r="S90" s="30"/>
      <c r="V90" s="30"/>
      <c r="Y90" s="30"/>
    </row>
    <row r="91" spans="1:25" x14ac:dyDescent="0.25">
      <c r="A91" s="6">
        <v>10310</v>
      </c>
      <c r="B91" s="18" t="s">
        <v>570</v>
      </c>
      <c r="C91" s="23" t="s">
        <v>361</v>
      </c>
      <c r="D91" s="6">
        <v>10310</v>
      </c>
      <c r="E91" s="6" t="s">
        <v>235</v>
      </c>
      <c r="F91" s="6" t="s">
        <v>588</v>
      </c>
      <c r="G91" s="30" t="s">
        <v>591</v>
      </c>
      <c r="H91" s="15">
        <v>1</v>
      </c>
      <c r="I91" s="6"/>
      <c r="J91" s="30"/>
      <c r="K91" s="15"/>
      <c r="L91" s="6"/>
      <c r="M91" s="30"/>
      <c r="N91" s="15"/>
      <c r="P91" s="30"/>
      <c r="S91" s="30"/>
      <c r="V91" s="30"/>
      <c r="Y91" s="30"/>
    </row>
    <row r="96" spans="1:25" x14ac:dyDescent="0.25">
      <c r="A96" s="11" t="s">
        <v>82</v>
      </c>
    </row>
  </sheetData>
  <phoneticPr fontId="1" type="noConversion"/>
  <dataValidations count="2">
    <dataValidation type="list" allowBlank="1" showInputMessage="1" showErrorMessage="1" sqref="E3:E1048576" xr:uid="{F29059F6-C4CB-41BB-8EA3-2E71C0175F21}">
      <formula1>Target</formula1>
    </dataValidation>
    <dataValidation type="list" allowBlank="1" showInputMessage="1" showErrorMessage="1" sqref="R3:R1048576 U3:U1048576 O3:O1048576 X3:X1048576 L3:L1048576 I3:I1048576 F3:F1048576" xr:uid="{D711E562-628C-4413-8852-6904F075909B}">
      <formula1>EffectType</formula1>
    </dataValidation>
  </dataValidations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4"/>
  <dimension ref="A1:M77"/>
  <sheetViews>
    <sheetView zoomScaleNormal="100" workbookViewId="0">
      <selection activeCell="A6" sqref="A6"/>
    </sheetView>
  </sheetViews>
  <sheetFormatPr defaultRowHeight="15.75" x14ac:dyDescent="0.25"/>
  <cols>
    <col min="1" max="1" width="13.140625" customWidth="1"/>
    <col min="2" max="2" width="18.42578125" customWidth="1"/>
    <col min="3" max="3" width="13.85546875" customWidth="1"/>
    <col min="4" max="4" width="37.42578125" customWidth="1"/>
  </cols>
  <sheetData>
    <row r="1" spans="1:4" s="4" customFormat="1" ht="16.5" x14ac:dyDescent="0.25">
      <c r="A1" s="3" t="s">
        <v>70</v>
      </c>
    </row>
    <row r="2" spans="1:4" ht="16.5" x14ac:dyDescent="0.25">
      <c r="A2" s="5" t="s">
        <v>71</v>
      </c>
    </row>
    <row r="3" spans="1:4" ht="16.5" x14ac:dyDescent="0.25">
      <c r="A3" s="5" t="s">
        <v>72</v>
      </c>
    </row>
    <row r="4" spans="1:4" ht="16.5" x14ac:dyDescent="0.25">
      <c r="A4" s="5" t="s">
        <v>73</v>
      </c>
    </row>
    <row r="5" spans="1:4" ht="16.5" x14ac:dyDescent="0.25">
      <c r="A5" s="5" t="s">
        <v>74</v>
      </c>
    </row>
    <row r="6" spans="1:4" ht="16.5" x14ac:dyDescent="0.25">
      <c r="A6" s="5" t="s">
        <v>265</v>
      </c>
    </row>
    <row r="7" spans="1:4" ht="16.5" x14ac:dyDescent="0.25">
      <c r="A7" s="5" t="s">
        <v>75</v>
      </c>
    </row>
    <row r="8" spans="1:4" ht="16.5" x14ac:dyDescent="0.25">
      <c r="A8" s="5"/>
    </row>
    <row r="9" spans="1:4" ht="16.5" x14ac:dyDescent="0.25">
      <c r="A9" s="5"/>
    </row>
    <row r="10" spans="1:4" s="1" customFormat="1" x14ac:dyDescent="0.25">
      <c r="A10" s="1" t="s">
        <v>80</v>
      </c>
    </row>
    <row r="11" spans="1:4" s="1" customFormat="1" x14ac:dyDescent="0.25">
      <c r="A11" s="1" t="s">
        <v>0</v>
      </c>
      <c r="B11" s="1" t="s">
        <v>78</v>
      </c>
      <c r="C11" s="1" t="s">
        <v>77</v>
      </c>
      <c r="D11" s="1" t="s">
        <v>76</v>
      </c>
    </row>
    <row r="13" spans="1:4" x14ac:dyDescent="0.25">
      <c r="D13" s="9"/>
    </row>
    <row r="14" spans="1:4" x14ac:dyDescent="0.25">
      <c r="D14" s="9"/>
    </row>
    <row r="16" spans="1:4" x14ac:dyDescent="0.25">
      <c r="D16" s="9"/>
    </row>
    <row r="56" spans="1:13" x14ac:dyDescent="0.25">
      <c r="A56" t="s">
        <v>23</v>
      </c>
      <c r="B56" t="s">
        <v>50</v>
      </c>
      <c r="C56" t="s">
        <v>12</v>
      </c>
      <c r="E56" t="s">
        <v>13</v>
      </c>
      <c r="F56" t="s">
        <v>14</v>
      </c>
      <c r="G56" t="s">
        <v>15</v>
      </c>
      <c r="H56" t="s">
        <v>16</v>
      </c>
      <c r="I56" t="s">
        <v>17</v>
      </c>
      <c r="J56" t="s">
        <v>18</v>
      </c>
      <c r="K56" t="s">
        <v>19</v>
      </c>
      <c r="L56" t="s">
        <v>20</v>
      </c>
      <c r="M56" t="s">
        <v>21</v>
      </c>
    </row>
    <row r="57" spans="1:13" x14ac:dyDescent="0.25">
      <c r="A57" t="s">
        <v>24</v>
      </c>
      <c r="B57" t="s">
        <v>51</v>
      </c>
      <c r="C57" t="s">
        <v>12</v>
      </c>
      <c r="E57" t="s">
        <v>13</v>
      </c>
      <c r="F57" t="s">
        <v>14</v>
      </c>
      <c r="G57" t="s">
        <v>15</v>
      </c>
      <c r="H57" t="s">
        <v>16</v>
      </c>
      <c r="I57" t="s">
        <v>17</v>
      </c>
      <c r="J57" t="s">
        <v>18</v>
      </c>
      <c r="K57" t="s">
        <v>19</v>
      </c>
      <c r="L57" t="s">
        <v>20</v>
      </c>
      <c r="M57" t="s">
        <v>21</v>
      </c>
    </row>
    <row r="60" spans="1:13" x14ac:dyDescent="0.25">
      <c r="A60" s="8" t="s">
        <v>28</v>
      </c>
      <c r="B60" s="8" t="s">
        <v>37</v>
      </c>
      <c r="C60" s="8" t="s">
        <v>22</v>
      </c>
      <c r="D60" s="8" t="s">
        <v>52</v>
      </c>
    </row>
    <row r="61" spans="1:13" x14ac:dyDescent="0.25">
      <c r="A61" s="8" t="s">
        <v>29</v>
      </c>
      <c r="B61" s="8" t="s">
        <v>1</v>
      </c>
      <c r="C61" s="8" t="s">
        <v>22</v>
      </c>
      <c r="D61" s="8" t="s">
        <v>53</v>
      </c>
    </row>
    <row r="62" spans="1:13" x14ac:dyDescent="0.25">
      <c r="A62" s="8" t="s">
        <v>30</v>
      </c>
      <c r="B62" s="8" t="s">
        <v>2</v>
      </c>
      <c r="C62" s="8" t="s">
        <v>22</v>
      </c>
      <c r="D62" s="8" t="s">
        <v>54</v>
      </c>
    </row>
    <row r="63" spans="1:13" x14ac:dyDescent="0.25">
      <c r="A63" s="8" t="s">
        <v>31</v>
      </c>
      <c r="B63" s="8" t="s">
        <v>3</v>
      </c>
      <c r="C63" s="8" t="s">
        <v>22</v>
      </c>
      <c r="D63" s="8" t="s">
        <v>55</v>
      </c>
    </row>
    <row r="64" spans="1:13" x14ac:dyDescent="0.25">
      <c r="A64" s="8" t="s">
        <v>32</v>
      </c>
      <c r="B64" s="8" t="s">
        <v>4</v>
      </c>
      <c r="C64" s="8" t="s">
        <v>22</v>
      </c>
      <c r="D64" s="8" t="s">
        <v>56</v>
      </c>
    </row>
    <row r="65" spans="1:4" x14ac:dyDescent="0.25">
      <c r="A65" s="8" t="s">
        <v>33</v>
      </c>
      <c r="B65" s="8" t="s">
        <v>5</v>
      </c>
      <c r="C65" s="8" t="s">
        <v>22</v>
      </c>
      <c r="D65" s="8" t="s">
        <v>57</v>
      </c>
    </row>
    <row r="66" spans="1:4" x14ac:dyDescent="0.25">
      <c r="A66" s="8" t="s">
        <v>45</v>
      </c>
      <c r="B66" s="8" t="s">
        <v>38</v>
      </c>
      <c r="C66" s="8" t="s">
        <v>22</v>
      </c>
      <c r="D66" s="8" t="s">
        <v>58</v>
      </c>
    </row>
    <row r="67" spans="1:4" x14ac:dyDescent="0.25">
      <c r="A67" s="8" t="s">
        <v>34</v>
      </c>
      <c r="B67" s="8" t="s">
        <v>39</v>
      </c>
      <c r="C67" s="8" t="s">
        <v>22</v>
      </c>
      <c r="D67" s="8" t="s">
        <v>59</v>
      </c>
    </row>
    <row r="68" spans="1:4" x14ac:dyDescent="0.25">
      <c r="A68" s="8" t="s">
        <v>43</v>
      </c>
      <c r="B68" s="8" t="s">
        <v>6</v>
      </c>
      <c r="C68" s="8" t="s">
        <v>22</v>
      </c>
      <c r="D68" s="8" t="s">
        <v>60</v>
      </c>
    </row>
    <row r="69" spans="1:4" x14ac:dyDescent="0.25">
      <c r="A69" s="8" t="s">
        <v>46</v>
      </c>
      <c r="B69" s="8" t="s">
        <v>35</v>
      </c>
      <c r="C69" s="8" t="s">
        <v>22</v>
      </c>
      <c r="D69" s="8" t="s">
        <v>61</v>
      </c>
    </row>
    <row r="70" spans="1:4" x14ac:dyDescent="0.25">
      <c r="A70" s="8" t="s">
        <v>44</v>
      </c>
      <c r="B70" s="8" t="s">
        <v>7</v>
      </c>
      <c r="C70" s="8" t="s">
        <v>22</v>
      </c>
      <c r="D70" s="8" t="s">
        <v>62</v>
      </c>
    </row>
    <row r="71" spans="1:4" x14ac:dyDescent="0.25">
      <c r="A71" s="8" t="s">
        <v>47</v>
      </c>
      <c r="B71" s="8" t="s">
        <v>36</v>
      </c>
      <c r="C71" s="8" t="s">
        <v>22</v>
      </c>
      <c r="D71" s="8" t="s">
        <v>63</v>
      </c>
    </row>
    <row r="72" spans="1:4" x14ac:dyDescent="0.25">
      <c r="A72" s="8" t="s">
        <v>41</v>
      </c>
      <c r="B72" s="8" t="s">
        <v>8</v>
      </c>
      <c r="C72" s="8" t="s">
        <v>22</v>
      </c>
      <c r="D72" s="8" t="s">
        <v>64</v>
      </c>
    </row>
    <row r="73" spans="1:4" x14ac:dyDescent="0.25">
      <c r="A73" s="8" t="s">
        <v>42</v>
      </c>
      <c r="B73" s="8" t="s">
        <v>27</v>
      </c>
      <c r="C73" s="8" t="s">
        <v>22</v>
      </c>
      <c r="D73" s="8" t="s">
        <v>65</v>
      </c>
    </row>
    <row r="74" spans="1:4" x14ac:dyDescent="0.25">
      <c r="A74" s="8" t="s">
        <v>26</v>
      </c>
      <c r="B74" s="8" t="s">
        <v>9</v>
      </c>
      <c r="C74" s="8" t="s">
        <v>22</v>
      </c>
      <c r="D74" s="8" t="s">
        <v>66</v>
      </c>
    </row>
    <row r="75" spans="1:4" x14ac:dyDescent="0.25">
      <c r="A75" s="8" t="s">
        <v>25</v>
      </c>
      <c r="B75" s="8" t="s">
        <v>40</v>
      </c>
      <c r="C75" s="8" t="s">
        <v>22</v>
      </c>
      <c r="D75" s="8" t="s">
        <v>67</v>
      </c>
    </row>
    <row r="76" spans="1:4" x14ac:dyDescent="0.25">
      <c r="A76" s="8" t="s">
        <v>48</v>
      </c>
      <c r="B76" s="8" t="s">
        <v>10</v>
      </c>
      <c r="C76" s="8" t="s">
        <v>22</v>
      </c>
      <c r="D76" s="8" t="s">
        <v>68</v>
      </c>
    </row>
    <row r="77" spans="1:4" x14ac:dyDescent="0.25">
      <c r="A77" s="8" t="s">
        <v>49</v>
      </c>
      <c r="B77" s="8" t="s">
        <v>11</v>
      </c>
      <c r="C77" s="8" t="s">
        <v>22</v>
      </c>
      <c r="D77" s="8" t="s">
        <v>69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D0A006-6308-4E0B-8184-7C47BFBACC2F}">
  <sheetPr codeName="工作表5"/>
  <dimension ref="A1:B34"/>
  <sheetViews>
    <sheetView topLeftCell="A4" workbookViewId="0">
      <selection activeCell="A30" sqref="A30"/>
    </sheetView>
  </sheetViews>
  <sheetFormatPr defaultRowHeight="15.75" x14ac:dyDescent="0.25"/>
  <cols>
    <col min="1" max="1" width="26.85546875" customWidth="1"/>
    <col min="2" max="2" width="24.7109375" customWidth="1"/>
  </cols>
  <sheetData>
    <row r="1" spans="1:2" ht="16.5" x14ac:dyDescent="0.25">
      <c r="A1" s="3" t="s">
        <v>131</v>
      </c>
      <c r="B1" s="3" t="s">
        <v>132</v>
      </c>
    </row>
    <row r="2" spans="1:2" ht="16.5" x14ac:dyDescent="0.25">
      <c r="A2" s="3" t="s">
        <v>133</v>
      </c>
      <c r="B2" s="3"/>
    </row>
    <row r="3" spans="1:2" x14ac:dyDescent="0.25">
      <c r="A3" t="s">
        <v>113</v>
      </c>
      <c r="B3" t="s">
        <v>134</v>
      </c>
    </row>
    <row r="4" spans="1:2" x14ac:dyDescent="0.25">
      <c r="A4" t="s">
        <v>115</v>
      </c>
      <c r="B4" t="s">
        <v>135</v>
      </c>
    </row>
    <row r="6" spans="1:2" ht="16.5" x14ac:dyDescent="0.25">
      <c r="A6" s="3" t="s">
        <v>136</v>
      </c>
      <c r="B6" s="3"/>
    </row>
    <row r="7" spans="1:2" x14ac:dyDescent="0.25">
      <c r="A7" t="s">
        <v>137</v>
      </c>
      <c r="B7" t="s">
        <v>138</v>
      </c>
    </row>
    <row r="8" spans="1:2" x14ac:dyDescent="0.25">
      <c r="A8" t="s">
        <v>139</v>
      </c>
      <c r="B8" t="s">
        <v>140</v>
      </c>
    </row>
    <row r="9" spans="1:2" x14ac:dyDescent="0.25">
      <c r="A9" t="s">
        <v>141</v>
      </c>
      <c r="B9" t="s">
        <v>142</v>
      </c>
    </row>
    <row r="10" spans="1:2" x14ac:dyDescent="0.25">
      <c r="A10" t="s">
        <v>143</v>
      </c>
      <c r="B10" t="s">
        <v>144</v>
      </c>
    </row>
    <row r="11" spans="1:2" x14ac:dyDescent="0.25">
      <c r="A11" t="s">
        <v>145</v>
      </c>
      <c r="B11" t="s">
        <v>146</v>
      </c>
    </row>
    <row r="12" spans="1:2" x14ac:dyDescent="0.25">
      <c r="A12" t="s">
        <v>147</v>
      </c>
      <c r="B12" t="s">
        <v>148</v>
      </c>
    </row>
    <row r="13" spans="1:2" x14ac:dyDescent="0.25">
      <c r="A13" t="s">
        <v>149</v>
      </c>
      <c r="B13" t="s">
        <v>150</v>
      </c>
    </row>
    <row r="14" spans="1:2" x14ac:dyDescent="0.25">
      <c r="A14" t="s">
        <v>151</v>
      </c>
      <c r="B14" t="s">
        <v>158</v>
      </c>
    </row>
    <row r="15" spans="1:2" x14ac:dyDescent="0.25">
      <c r="A15" t="s">
        <v>152</v>
      </c>
      <c r="B15" t="s">
        <v>153</v>
      </c>
    </row>
    <row r="17" spans="1:2" ht="16.5" x14ac:dyDescent="0.25">
      <c r="A17" s="3" t="s">
        <v>154</v>
      </c>
      <c r="B17" s="3"/>
    </row>
    <row r="18" spans="1:2" x14ac:dyDescent="0.25">
      <c r="A18" t="s">
        <v>112</v>
      </c>
      <c r="B18" s="9" t="s">
        <v>155</v>
      </c>
    </row>
    <row r="19" spans="1:2" x14ac:dyDescent="0.25">
      <c r="A19" t="s">
        <v>117</v>
      </c>
      <c r="B19" s="9" t="s">
        <v>156</v>
      </c>
    </row>
    <row r="20" spans="1:2" x14ac:dyDescent="0.25">
      <c r="A20" t="s">
        <v>123</v>
      </c>
      <c r="B20" s="9" t="s">
        <v>159</v>
      </c>
    </row>
    <row r="21" spans="1:2" x14ac:dyDescent="0.25">
      <c r="A21" t="s">
        <v>118</v>
      </c>
      <c r="B21" s="9" t="s">
        <v>124</v>
      </c>
    </row>
    <row r="22" spans="1:2" x14ac:dyDescent="0.25">
      <c r="A22" t="s">
        <v>119</v>
      </c>
      <c r="B22" s="9" t="s">
        <v>125</v>
      </c>
    </row>
    <row r="23" spans="1:2" x14ac:dyDescent="0.25">
      <c r="A23" t="s">
        <v>120</v>
      </c>
      <c r="B23" s="9" t="s">
        <v>160</v>
      </c>
    </row>
    <row r="24" spans="1:2" x14ac:dyDescent="0.25">
      <c r="A24" t="s">
        <v>127</v>
      </c>
      <c r="B24" s="9" t="s">
        <v>161</v>
      </c>
    </row>
    <row r="25" spans="1:2" x14ac:dyDescent="0.25">
      <c r="A25" t="s">
        <v>128</v>
      </c>
      <c r="B25" s="9" t="s">
        <v>157</v>
      </c>
    </row>
    <row r="26" spans="1:2" x14ac:dyDescent="0.25">
      <c r="A26" t="s">
        <v>130</v>
      </c>
      <c r="B26" s="9" t="s">
        <v>162</v>
      </c>
    </row>
    <row r="27" spans="1:2" x14ac:dyDescent="0.25">
      <c r="A27" t="s">
        <v>121</v>
      </c>
      <c r="B27" s="9" t="s">
        <v>163</v>
      </c>
    </row>
    <row r="28" spans="1:2" x14ac:dyDescent="0.25">
      <c r="A28" t="s">
        <v>129</v>
      </c>
      <c r="B28" s="9" t="s">
        <v>164</v>
      </c>
    </row>
    <row r="29" spans="1:2" x14ac:dyDescent="0.25">
      <c r="A29" t="s">
        <v>122</v>
      </c>
      <c r="B29" s="9" t="s">
        <v>165</v>
      </c>
    </row>
    <row r="30" spans="1:2" x14ac:dyDescent="0.25">
      <c r="A30" t="s">
        <v>126</v>
      </c>
      <c r="B30" s="9" t="s">
        <v>166</v>
      </c>
    </row>
    <row r="31" spans="1:2" x14ac:dyDescent="0.25">
      <c r="A31" t="s">
        <v>206</v>
      </c>
      <c r="B31" t="s">
        <v>207</v>
      </c>
    </row>
    <row r="32" spans="1:2" x14ac:dyDescent="0.25">
      <c r="A32" t="s">
        <v>203</v>
      </c>
      <c r="B32" t="s">
        <v>208</v>
      </c>
    </row>
    <row r="33" spans="1:2" x14ac:dyDescent="0.25">
      <c r="A33" t="s">
        <v>248</v>
      </c>
      <c r="B33" s="9" t="s">
        <v>249</v>
      </c>
    </row>
    <row r="34" spans="1:2" x14ac:dyDescent="0.25">
      <c r="A34" t="s">
        <v>255</v>
      </c>
      <c r="B34" s="9" t="s">
        <v>256</v>
      </c>
    </row>
  </sheetData>
  <phoneticPr fontId="1" type="noConversion"/>
  <pageMargins left="0.7" right="0.7" top="0.75" bottom="0.75" header="0.3" footer="0.3"/>
  <pageSetup paperSize="9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6"/>
  <dimension ref="A1:L116"/>
  <sheetViews>
    <sheetView zoomScaleNormal="100" workbookViewId="0">
      <selection activeCell="A12" sqref="A12"/>
    </sheetView>
  </sheetViews>
  <sheetFormatPr defaultRowHeight="15.75" x14ac:dyDescent="0.25"/>
  <cols>
    <col min="1" max="1" width="25" customWidth="1"/>
    <col min="2" max="2" width="58.5703125" customWidth="1"/>
    <col min="3" max="3" width="9.85546875" customWidth="1"/>
    <col min="5" max="5" width="13.140625" customWidth="1"/>
    <col min="7" max="7" width="13.85546875" customWidth="1"/>
    <col min="8" max="8" width="12" customWidth="1"/>
  </cols>
  <sheetData>
    <row r="1" spans="1:12" x14ac:dyDescent="0.25">
      <c r="A1" s="10" t="s">
        <v>81</v>
      </c>
      <c r="B1" s="13" t="s">
        <v>83</v>
      </c>
    </row>
    <row r="2" spans="1:12" x14ac:dyDescent="0.25">
      <c r="A2" s="10" t="s">
        <v>81</v>
      </c>
      <c r="B2" s="13" t="s">
        <v>272</v>
      </c>
    </row>
    <row r="6" spans="1:12" x14ac:dyDescent="0.25">
      <c r="A6" s="2"/>
    </row>
    <row r="9" spans="1:12" ht="16.5" x14ac:dyDescent="0.25">
      <c r="A9" s="3" t="s">
        <v>110</v>
      </c>
      <c r="B9" s="3" t="s">
        <v>76</v>
      </c>
      <c r="C9" s="3" t="s">
        <v>111</v>
      </c>
      <c r="D9" s="3" t="s">
        <v>76</v>
      </c>
      <c r="E9" s="3" t="s">
        <v>194</v>
      </c>
      <c r="F9" s="3" t="s">
        <v>76</v>
      </c>
      <c r="G9" s="3" t="s">
        <v>367</v>
      </c>
      <c r="H9" s="3" t="s">
        <v>76</v>
      </c>
      <c r="I9" s="3" t="s">
        <v>286</v>
      </c>
      <c r="J9" s="3" t="s">
        <v>76</v>
      </c>
    </row>
    <row r="10" spans="1:12" x14ac:dyDescent="0.25">
      <c r="A10" s="32" t="s">
        <v>529</v>
      </c>
      <c r="B10" s="34" t="s">
        <v>526</v>
      </c>
      <c r="C10" t="s">
        <v>113</v>
      </c>
      <c r="D10" t="s">
        <v>114</v>
      </c>
      <c r="E10" t="s">
        <v>197</v>
      </c>
      <c r="F10" t="s">
        <v>195</v>
      </c>
      <c r="G10" t="s">
        <v>372</v>
      </c>
      <c r="H10" t="s">
        <v>368</v>
      </c>
      <c r="I10" t="s">
        <v>288</v>
      </c>
      <c r="J10" t="s">
        <v>363</v>
      </c>
      <c r="K10" t="str">
        <f t="shared" ref="K10:K25" si="0">A10&amp;"= """ &amp; A10 &amp;""" // "&amp;SUBSTITUTE(B10, CHAR(10), ",")</f>
        <v>PDmg= "PDmg" // 造成物理傷害,數值是造成多少傷害</v>
      </c>
      <c r="L10" t="str">
        <f>A10&amp;","</f>
        <v>PDmg,</v>
      </c>
    </row>
    <row r="11" spans="1:12" x14ac:dyDescent="0.25">
      <c r="A11" s="32" t="s">
        <v>530</v>
      </c>
      <c r="B11" s="34" t="s">
        <v>527</v>
      </c>
      <c r="C11" t="s">
        <v>115</v>
      </c>
      <c r="D11" t="s">
        <v>116</v>
      </c>
      <c r="E11" t="s">
        <v>198</v>
      </c>
      <c r="F11" t="s">
        <v>196</v>
      </c>
      <c r="G11" t="s">
        <v>286</v>
      </c>
      <c r="H11" t="s">
        <v>369</v>
      </c>
      <c r="I11" t="s">
        <v>290</v>
      </c>
      <c r="J11" t="s">
        <v>364</v>
      </c>
      <c r="K11" t="str">
        <f t="shared" si="0"/>
        <v>MDmg= "MDmg" // 造成魔法傷害,數值是造成多少傷害</v>
      </c>
      <c r="L11" t="str">
        <f t="shared" ref="L11:L75" si="1">A11&amp;","</f>
        <v>MDmg,</v>
      </c>
    </row>
    <row r="12" spans="1:12" x14ac:dyDescent="0.25">
      <c r="A12" s="33" t="s">
        <v>618</v>
      </c>
      <c r="B12" s="34" t="s">
        <v>619</v>
      </c>
    </row>
    <row r="13" spans="1:12" x14ac:dyDescent="0.25">
      <c r="A13" s="32" t="s">
        <v>117</v>
      </c>
      <c r="B13" s="34" t="s">
        <v>420</v>
      </c>
      <c r="E13" t="s">
        <v>296</v>
      </c>
      <c r="F13" t="s">
        <v>297</v>
      </c>
      <c r="I13" t="s">
        <v>292</v>
      </c>
      <c r="J13" t="s">
        <v>365</v>
      </c>
      <c r="K13" t="str">
        <f t="shared" si="0"/>
        <v>RestoreHP= "RestoreHP" // 恢復生命,數值是恢復多少生命</v>
      </c>
      <c r="L13" t="str">
        <f t="shared" si="1"/>
        <v>RestoreHP,</v>
      </c>
    </row>
    <row r="14" spans="1:12" x14ac:dyDescent="0.25">
      <c r="A14" s="32" t="s">
        <v>123</v>
      </c>
      <c r="B14" s="34" t="s">
        <v>421</v>
      </c>
      <c r="I14" t="s">
        <v>294</v>
      </c>
      <c r="J14" t="s">
        <v>366</v>
      </c>
      <c r="K14" t="str">
        <f t="shared" si="0"/>
        <v>RestoreVigor= "RestoreVigor" // 恢復體力,數值是恢復多少體力</v>
      </c>
      <c r="L14" t="str">
        <f t="shared" si="1"/>
        <v>RestoreVigor,</v>
      </c>
    </row>
    <row r="15" spans="1:12" ht="31.5" x14ac:dyDescent="0.25">
      <c r="A15" s="33" t="s">
        <v>191</v>
      </c>
      <c r="B15" s="34" t="s">
        <v>192</v>
      </c>
      <c r="K15" t="str">
        <f t="shared" si="0"/>
        <v>Rush= "Rush" // 突擊,快速衝刺進行肉搏</v>
      </c>
      <c r="L15" t="str">
        <f t="shared" si="1"/>
        <v>Rush,</v>
      </c>
    </row>
    <row r="16" spans="1:12" ht="31.5" x14ac:dyDescent="0.25">
      <c r="A16" s="33" t="s">
        <v>204</v>
      </c>
      <c r="B16" s="34" t="s">
        <v>205</v>
      </c>
      <c r="K16" t="str">
        <f t="shared" si="0"/>
        <v>Pull= "Pull" // 拉取,將敵人拉至前往自己</v>
      </c>
      <c r="L16" t="str">
        <f t="shared" si="1"/>
        <v>Pull,</v>
      </c>
    </row>
    <row r="17" spans="1:12" ht="31.5" x14ac:dyDescent="0.25">
      <c r="A17" s="33" t="s">
        <v>453</v>
      </c>
      <c r="B17" s="34" t="s">
        <v>454</v>
      </c>
      <c r="K17" t="str">
        <f t="shared" si="0"/>
        <v>Purge= "Purge" // 淨化,移除所有負面效果</v>
      </c>
      <c r="L17" t="str">
        <f t="shared" si="1"/>
        <v>Purge,</v>
      </c>
    </row>
    <row r="18" spans="1:12" ht="31.5" x14ac:dyDescent="0.25">
      <c r="A18" s="33" t="s">
        <v>515</v>
      </c>
      <c r="B18" s="34" t="s">
        <v>516</v>
      </c>
      <c r="K18" t="str">
        <f t="shared" si="0"/>
        <v>Shuffle= "Shuffle" // 洗牌,重洗目前的技能卡回牌庫並隨機抽回手牌</v>
      </c>
      <c r="L18" t="str">
        <f t="shared" si="1"/>
        <v>Shuffle,</v>
      </c>
    </row>
    <row r="19" spans="1:12" ht="31.5" x14ac:dyDescent="0.25">
      <c r="A19" s="33" t="s">
        <v>517</v>
      </c>
      <c r="B19" s="34" t="s">
        <v>518</v>
      </c>
      <c r="K19" t="str">
        <f t="shared" si="0"/>
        <v>Fortune= "Fortune" // 財富,獲得遊戲幣, 數值是增加值</v>
      </c>
      <c r="L19" t="str">
        <f t="shared" si="1"/>
        <v>Fortune,</v>
      </c>
    </row>
    <row r="20" spans="1:12" ht="31.5" x14ac:dyDescent="0.25">
      <c r="A20" s="33" t="s">
        <v>523</v>
      </c>
      <c r="B20" s="34" t="s">
        <v>524</v>
      </c>
      <c r="K20" t="str">
        <f t="shared" si="0"/>
        <v>PermanentHp= "PermanentHp" // 永久提升生命,數值填提昇值</v>
      </c>
      <c r="L20" t="str">
        <f t="shared" si="1"/>
        <v>PermanentHp,</v>
      </c>
    </row>
    <row r="21" spans="1:12" ht="47.25" x14ac:dyDescent="0.25">
      <c r="A21" s="33" t="s">
        <v>482</v>
      </c>
      <c r="B21" s="34" t="s">
        <v>610</v>
      </c>
      <c r="K21" t="str">
        <f>A21&amp;"= """ &amp; A21 &amp;""" // "&amp;SUBSTITUTE(B21, CHAR(10), ",")</f>
        <v>MeleeDmgReflect= "MeleeDmgReflect" // [Buffer]肉搏傷害反射,受到肉搏攻擊會反彈受到的百分比傷害給攻擊者, 數值填0.5,3就是反彈50%傷害持續3秒</v>
      </c>
      <c r="L21" t="str">
        <f>A21&amp;","</f>
        <v>MeleeDmgReflect,</v>
      </c>
    </row>
    <row r="22" spans="1:12" ht="31.5" x14ac:dyDescent="0.25">
      <c r="A22" s="33" t="s">
        <v>419</v>
      </c>
      <c r="B22" s="34" t="s">
        <v>611</v>
      </c>
      <c r="K22" t="str">
        <f>A22&amp;"= """ &amp; A22 &amp;""" // "&amp;SUBSTITUTE(B22, CHAR(10), ",")</f>
        <v>Block= "Block" // [Buffer]格檔,格檔對手的攻擊，數值填3就是格檔3次</v>
      </c>
      <c r="L22" t="str">
        <f>A22&amp;","</f>
        <v>Block,</v>
      </c>
    </row>
    <row r="23" spans="1:12" ht="31.5" x14ac:dyDescent="0.25">
      <c r="A23" s="33" t="s">
        <v>522</v>
      </c>
      <c r="B23" s="34" t="s">
        <v>604</v>
      </c>
      <c r="K23" t="str">
        <f t="shared" si="0"/>
        <v>Intuition= "Intuition" // [Buffer]直覺,顯示對手手牌技能</v>
      </c>
      <c r="L23" t="str">
        <f t="shared" si="1"/>
        <v>Intuition,</v>
      </c>
    </row>
    <row r="24" spans="1:12" ht="31.5" x14ac:dyDescent="0.25">
      <c r="A24" s="32" t="s">
        <v>255</v>
      </c>
      <c r="B24" s="34" t="s">
        <v>271</v>
      </c>
      <c r="K24" t="str">
        <f t="shared" si="0"/>
        <v>Enraged= "Enraged" // [Buffer]激怒,強制進入突擊狀態, 層數是持續時間</v>
      </c>
      <c r="L24" t="str">
        <f t="shared" si="1"/>
        <v>Enraged,</v>
      </c>
    </row>
    <row r="25" spans="1:12" x14ac:dyDescent="0.25">
      <c r="A25" s="33" t="s">
        <v>489</v>
      </c>
      <c r="B25" s="34" t="s">
        <v>579</v>
      </c>
      <c r="K25" t="str">
        <f t="shared" si="0"/>
        <v>Dodge_RangeAttack= "Dodge_RangeAttack" // [Buffer]迴避對手遠程攻擊, 層數是次數</v>
      </c>
      <c r="L25" t="str">
        <f t="shared" si="1"/>
        <v>Dodge_RangeAttack,</v>
      </c>
    </row>
    <row r="26" spans="1:12" ht="31.5" x14ac:dyDescent="0.25">
      <c r="A26" s="33" t="s">
        <v>422</v>
      </c>
      <c r="B26" s="34" t="s">
        <v>541</v>
      </c>
      <c r="K26" t="str">
        <f t="shared" ref="K26:K57" si="2">A26&amp;"= """ &amp; A26 &amp;""" // "&amp;SUBSTITUTE(B26, CHAR(10), ",")</f>
        <v>RegenHP= "RegenHP" // [Buffer]隨時間回復生命,數值填5,3代表每秒恢復5生命持續3秒(賦予時會立即觸發1次)</v>
      </c>
      <c r="L26" t="str">
        <f t="shared" si="1"/>
        <v>RegenHP,</v>
      </c>
    </row>
    <row r="27" spans="1:12" ht="31.5" x14ac:dyDescent="0.25">
      <c r="A27" s="33" t="s">
        <v>423</v>
      </c>
      <c r="B27" s="34" t="s">
        <v>542</v>
      </c>
      <c r="K27" t="str">
        <f t="shared" si="2"/>
        <v>RegenVigor= "RegenVigor" // [Buffer]隨時間回復體力,數值填5,3代表每秒恢復5體力持續3秒(賦予時會立即觸發1次)</v>
      </c>
      <c r="L27" t="str">
        <f t="shared" si="1"/>
        <v>RegenVigor,</v>
      </c>
    </row>
    <row r="28" spans="1:12" ht="31.5" x14ac:dyDescent="0.25">
      <c r="A28" s="32" t="s">
        <v>118</v>
      </c>
      <c r="B28" s="34" t="s">
        <v>433</v>
      </c>
      <c r="K28" t="str">
        <f t="shared" si="2"/>
        <v>Dizzy= "Dizzy" // [Buffer]暈眩,無法移動,無法施放立即技能, 層數是持續時間</v>
      </c>
      <c r="L28" t="str">
        <f t="shared" si="1"/>
        <v>Dizzy,</v>
      </c>
    </row>
    <row r="29" spans="1:12" ht="31.5" x14ac:dyDescent="0.25">
      <c r="A29" s="32" t="s">
        <v>119</v>
      </c>
      <c r="B29" s="34" t="s">
        <v>543</v>
      </c>
      <c r="K29" t="str">
        <f t="shared" si="2"/>
        <v>Poison= "Poison" // [Buffer]中毒,持續受到層數傷害直到戰鬥結束(賦予時會立即觸發1次)</v>
      </c>
      <c r="L29" t="str">
        <f t="shared" si="1"/>
        <v>Poison,</v>
      </c>
    </row>
    <row r="30" spans="1:12" ht="31.5" x14ac:dyDescent="0.25">
      <c r="A30" s="32" t="s">
        <v>120</v>
      </c>
      <c r="B30" s="34" t="s">
        <v>266</v>
      </c>
      <c r="K30" t="str">
        <f t="shared" si="2"/>
        <v>Bleeding= "Bleeding" // [Buffer]流血,受到攻擊額外受到層數傷害直到戰鬥結束</v>
      </c>
      <c r="L30" t="str">
        <f t="shared" si="1"/>
        <v>Bleeding,</v>
      </c>
    </row>
    <row r="31" spans="1:12" ht="47.25" x14ac:dyDescent="0.25">
      <c r="A31" s="33" t="s">
        <v>127</v>
      </c>
      <c r="B31" s="34" t="s">
        <v>606</v>
      </c>
      <c r="K31" t="str">
        <f t="shared" si="2"/>
        <v>Burning= "Burning" // [Buffer]著火,每數秒受到層數傷害直到層數歸0, 每次受到傷害後層數減半(賦予時會立即觸發1次)</v>
      </c>
      <c r="L31" t="str">
        <f t="shared" si="1"/>
        <v>Burning,</v>
      </c>
    </row>
    <row r="32" spans="1:12" ht="31.5" x14ac:dyDescent="0.25">
      <c r="A32" s="33" t="s">
        <v>128</v>
      </c>
      <c r="B32" s="34" t="s">
        <v>267</v>
      </c>
      <c r="K32" t="str">
        <f t="shared" si="2"/>
        <v>Fearing= "Fearing" // [Buffer]恐懼,往後逃跑, 層數是持續時間</v>
      </c>
      <c r="L32" t="str">
        <f t="shared" si="1"/>
        <v>Fearing,</v>
      </c>
    </row>
    <row r="33" spans="1:12" ht="31.5" x14ac:dyDescent="0.25">
      <c r="A33" s="33" t="s">
        <v>130</v>
      </c>
      <c r="B33" s="34" t="s">
        <v>544</v>
      </c>
      <c r="K33" t="str">
        <f t="shared" si="2"/>
        <v>Vulnerable= "Vulnerable" // [Buffer]無力,傷害減少30%, 層數是持續時間</v>
      </c>
      <c r="L33" t="str">
        <f t="shared" si="1"/>
        <v>Vulnerable,</v>
      </c>
    </row>
    <row r="34" spans="1:12" ht="31.5" x14ac:dyDescent="0.25">
      <c r="A34" s="33" t="s">
        <v>121</v>
      </c>
      <c r="B34" s="34" t="s">
        <v>268</v>
      </c>
      <c r="K34" t="str">
        <f t="shared" si="2"/>
        <v>Weak= "Weak" // [Buffer]虛弱,防禦減少30%, 層數是持續時間</v>
      </c>
      <c r="L34" t="str">
        <f t="shared" si="1"/>
        <v>Weak,</v>
      </c>
    </row>
    <row r="35" spans="1:12" ht="31.5" x14ac:dyDescent="0.25">
      <c r="A35" s="33" t="s">
        <v>129</v>
      </c>
      <c r="B35" s="34" t="s">
        <v>269</v>
      </c>
      <c r="K35" t="str">
        <f t="shared" si="2"/>
        <v>Fatigue= "Fatigue" // [Buffer]疲勞,體力回復減少50%, 層數是持續時間</v>
      </c>
      <c r="L35" t="str">
        <f t="shared" si="1"/>
        <v>Fatigue,</v>
      </c>
    </row>
    <row r="36" spans="1:12" ht="31.5" x14ac:dyDescent="0.25">
      <c r="A36" s="33" t="s">
        <v>122</v>
      </c>
      <c r="B36" s="34" t="s">
        <v>270</v>
      </c>
      <c r="K36" t="str">
        <f t="shared" si="2"/>
        <v>Protection= "Protection" // [Buffer]加護,受到的傷害減少30%, 層數是持續時間</v>
      </c>
      <c r="L36" t="str">
        <f t="shared" si="1"/>
        <v>Protection,</v>
      </c>
    </row>
    <row r="37" spans="1:12" ht="31.5" x14ac:dyDescent="0.25">
      <c r="A37" s="33" t="s">
        <v>457</v>
      </c>
      <c r="B37" s="34" t="s">
        <v>460</v>
      </c>
      <c r="K37" t="str">
        <f t="shared" si="2"/>
        <v>MeleeSkillReflect= "MeleeSkillReflect" // [Buffer]肉搏技能反擊,反彈下一次受到的肉搏技能, 數值是次數</v>
      </c>
      <c r="L37" t="str">
        <f t="shared" si="1"/>
        <v>MeleeSkillReflect,</v>
      </c>
    </row>
    <row r="38" spans="1:12" ht="31.5" x14ac:dyDescent="0.25">
      <c r="A38" s="33" t="s">
        <v>459</v>
      </c>
      <c r="B38" s="34" t="s">
        <v>461</v>
      </c>
      <c r="K38" t="str">
        <f t="shared" si="2"/>
        <v>RangeSkillReflect= "RangeSkillReflect" // [Buffer]遠程技能反擊,反彈下一次受到的遠程技能, 數值是次數</v>
      </c>
      <c r="L38" t="str">
        <f t="shared" si="1"/>
        <v>RangeSkillReflect,</v>
      </c>
    </row>
    <row r="39" spans="1:12" ht="31.5" x14ac:dyDescent="0.25">
      <c r="A39" s="33" t="s">
        <v>446</v>
      </c>
      <c r="B39" s="34" t="s">
        <v>447</v>
      </c>
      <c r="K39" t="str">
        <f t="shared" si="2"/>
        <v>PDefUp= "PDefUp" // [Buffer]物防提升,數值填5,3代表提升5持續3秒</v>
      </c>
      <c r="L39" t="str">
        <f t="shared" si="1"/>
        <v>PDefUp,</v>
      </c>
    </row>
    <row r="40" spans="1:12" ht="31.5" x14ac:dyDescent="0.25">
      <c r="A40" s="33" t="s">
        <v>443</v>
      </c>
      <c r="B40" s="34" t="s">
        <v>448</v>
      </c>
      <c r="K40" t="str">
        <f t="shared" si="2"/>
        <v>MDefUp= "MDefUp" // [Buffer]魔防提升,數值填5,3代表提升5持續3秒</v>
      </c>
      <c r="L40" t="str">
        <f t="shared" si="1"/>
        <v>MDefUp,</v>
      </c>
    </row>
    <row r="41" spans="1:12" ht="31.5" x14ac:dyDescent="0.25">
      <c r="A41" s="33" t="s">
        <v>492</v>
      </c>
      <c r="B41" s="34" t="s">
        <v>493</v>
      </c>
      <c r="K41" t="str">
        <f t="shared" si="2"/>
        <v>StrUp= "StrUp" // [Buffer]力量提升,數值填5,3代表提升5持續3秒</v>
      </c>
      <c r="L41" t="str">
        <f t="shared" si="1"/>
        <v>StrUp,</v>
      </c>
    </row>
    <row r="42" spans="1:12" ht="31.5" x14ac:dyDescent="0.25">
      <c r="A42" s="33" t="s">
        <v>547</v>
      </c>
      <c r="B42" s="34" t="s">
        <v>548</v>
      </c>
      <c r="K42" t="str">
        <f t="shared" si="2"/>
        <v>KnockbackUp= "KnockbackUp" // [Buffer]擊退提升,數值填5,3代表提升5持續3秒</v>
      </c>
      <c r="L42" t="str">
        <f t="shared" si="1"/>
        <v>KnockbackUp,</v>
      </c>
    </row>
    <row r="43" spans="1:12" ht="31.5" x14ac:dyDescent="0.25">
      <c r="A43" s="33" t="s">
        <v>464</v>
      </c>
      <c r="B43" s="34" t="s">
        <v>465</v>
      </c>
      <c r="K43" t="str">
        <f t="shared" si="2"/>
        <v>Barrier= "Barrier" // [Buffer]不動,無法被擊退, 層數是持續時間</v>
      </c>
      <c r="L43" t="str">
        <f t="shared" si="1"/>
        <v>Barrier,</v>
      </c>
    </row>
    <row r="44" spans="1:12" ht="31.5" x14ac:dyDescent="0.25">
      <c r="A44" s="33" t="s">
        <v>467</v>
      </c>
      <c r="B44" s="34" t="s">
        <v>468</v>
      </c>
      <c r="K44" t="str">
        <f t="shared" si="2"/>
        <v>Poisoning= "Poisoning" // [Buffer]淬毒,攻擊會造成中毒, 層數是持續時間</v>
      </c>
      <c r="L44" t="str">
        <f t="shared" si="1"/>
        <v>Poisoning,</v>
      </c>
    </row>
    <row r="45" spans="1:12" ht="31.5" x14ac:dyDescent="0.25">
      <c r="A45" s="33" t="s">
        <v>473</v>
      </c>
      <c r="B45" s="34" t="s">
        <v>471</v>
      </c>
      <c r="K45" t="str">
        <f t="shared" si="2"/>
        <v>ComboAttack= "ComboAttack" // [Buffer]連擊,額外技能攻擊次數, 層數是額外次數</v>
      </c>
      <c r="L45" t="str">
        <f t="shared" si="1"/>
        <v>ComboAttack,</v>
      </c>
    </row>
    <row r="46" spans="1:12" ht="47.25" x14ac:dyDescent="0.25">
      <c r="A46" s="33" t="s">
        <v>474</v>
      </c>
      <c r="B46" s="34" t="s">
        <v>531</v>
      </c>
      <c r="K46" t="str">
        <f t="shared" si="2"/>
        <v>Vampire= "Vampire" // [Buffer]攻擊吸血,回復下次攻擊技能傷害的百分比生命, 數值填0.5,2代表回復造成傷害的50%生命, 下2次攻擊</v>
      </c>
      <c r="L46" t="str">
        <f t="shared" si="1"/>
        <v>Vampire,</v>
      </c>
    </row>
    <row r="47" spans="1:12" ht="31.5" x14ac:dyDescent="0.25">
      <c r="A47" s="33" t="s">
        <v>478</v>
      </c>
      <c r="B47" s="34" t="s">
        <v>545</v>
      </c>
      <c r="K47" t="str">
        <f t="shared" si="2"/>
        <v>CriticalUp= "CriticalUp" // [Buffer]爆擊提升,數值填0.5,3代表提升50%持續3秒</v>
      </c>
      <c r="L47" t="str">
        <f t="shared" si="1"/>
        <v>CriticalUp,</v>
      </c>
    </row>
    <row r="48" spans="1:12" ht="31.5" x14ac:dyDescent="0.25">
      <c r="A48" s="33" t="s">
        <v>486</v>
      </c>
      <c r="B48" s="34" t="s">
        <v>487</v>
      </c>
      <c r="K48" t="str">
        <f t="shared" si="2"/>
        <v>InitUp= "InitUp" // [Buffer]先攻提升,數值填5,3代表提升5持續3秒</v>
      </c>
      <c r="L48" t="str">
        <f t="shared" si="1"/>
        <v>InitUp,</v>
      </c>
    </row>
    <row r="49" spans="1:12" ht="31.5" x14ac:dyDescent="0.25">
      <c r="A49" s="33" t="s">
        <v>497</v>
      </c>
      <c r="B49" s="34" t="s">
        <v>565</v>
      </c>
      <c r="K49" t="str">
        <f t="shared" si="2"/>
        <v>Indomitable= "Indomitable" // [Buffer]不屈,免疫行動控制類的負面效果, 層數是持續時間</v>
      </c>
      <c r="L49" t="str">
        <f t="shared" si="1"/>
        <v>Indomitable,</v>
      </c>
    </row>
    <row r="50" spans="1:12" ht="31.5" x14ac:dyDescent="0.25">
      <c r="A50" s="33" t="s">
        <v>499</v>
      </c>
      <c r="B50" s="34" t="s">
        <v>500</v>
      </c>
      <c r="K50" t="str">
        <f t="shared" si="2"/>
        <v>Berserk= "Berserk" // [Buffer]狂暴,進入無法控制的狂暴狀態, 力量上升50%, 數值是持續時間</v>
      </c>
      <c r="L50" t="str">
        <f t="shared" si="1"/>
        <v>Berserk,</v>
      </c>
    </row>
    <row r="51" spans="1:12" ht="31.5" x14ac:dyDescent="0.25">
      <c r="A51" s="33" t="s">
        <v>502</v>
      </c>
      <c r="B51" s="34" t="s">
        <v>504</v>
      </c>
      <c r="K51" t="str">
        <f t="shared" si="2"/>
        <v>StrUpByHp= "StrUpByHp" // [Buffer]血怒,根據失去的生命百分比提升力量, 數值填最大提升值</v>
      </c>
      <c r="L51" t="str">
        <f t="shared" si="1"/>
        <v>StrUpByHp,</v>
      </c>
    </row>
    <row r="52" spans="1:12" ht="31.5" x14ac:dyDescent="0.25">
      <c r="A52" s="33" t="s">
        <v>511</v>
      </c>
      <c r="B52" s="34" t="s">
        <v>512</v>
      </c>
      <c r="K52" t="str">
        <f t="shared" si="2"/>
        <v>Chaos= "Chaos" // [Buffer]混沌,技能牌不會按照順序發牌, 數值填持續秒數</v>
      </c>
      <c r="L52" t="str">
        <f t="shared" si="1"/>
        <v>Chaos,</v>
      </c>
    </row>
    <row r="53" spans="1:12" ht="47.25" x14ac:dyDescent="0.25">
      <c r="A53" s="33" t="s">
        <v>513</v>
      </c>
      <c r="B53" s="34" t="s">
        <v>578</v>
      </c>
      <c r="K53" t="str">
        <f t="shared" si="2"/>
        <v>SkillVigorUp= "SkillVigorUp" // [Buffer]技能耗體增加,隨機一個技能本場戰鬥技能消耗體力增加, 填2,-1代表隨機2個技能體力需求-1</v>
      </c>
      <c r="L53" t="str">
        <f t="shared" si="1"/>
        <v>SkillVigorUp,</v>
      </c>
    </row>
    <row r="54" spans="1:12" ht="31.5" x14ac:dyDescent="0.25">
      <c r="A54" s="33" t="s">
        <v>602</v>
      </c>
      <c r="B54" s="34" t="s">
        <v>600</v>
      </c>
      <c r="K54" t="str">
        <f>A54&amp;"= """ &amp; A54 &amp;""" // "&amp;SUBSTITUTE(B54, CHAR(10), ",")</f>
        <v>StrBurst= "StrBurst" // [Buffer]力量爆發,填3就是下次的攻擊技能力量提升額外3倍</v>
      </c>
      <c r="L54" t="str">
        <f t="shared" si="1"/>
        <v>StrBurst,</v>
      </c>
    </row>
    <row r="55" spans="1:12" ht="31.5" x14ac:dyDescent="0.25">
      <c r="A55" s="33" t="s">
        <v>581</v>
      </c>
      <c r="B55" s="34" t="s">
        <v>609</v>
      </c>
      <c r="K55" t="str">
        <f t="shared" si="2"/>
        <v>TriggerEffect_BeAttack_StrUp= "TriggerEffect_BeAttack_StrUp" // [Buffer]觸發效果-受到攻擊時, 力量上升,數值填力量上升值</v>
      </c>
      <c r="L55" t="str">
        <f t="shared" si="1"/>
        <v>TriggerEffect_BeAttack_StrUp,</v>
      </c>
    </row>
    <row r="56" spans="1:12" ht="31.5" x14ac:dyDescent="0.25">
      <c r="A56" s="33" t="s">
        <v>583</v>
      </c>
      <c r="B56" s="34" t="s">
        <v>584</v>
      </c>
      <c r="K56" t="str">
        <f t="shared" si="2"/>
        <v>TriggerEffect_Time_Fortune= "TriggerEffect_Time_Fortune" // [Buffer]觸發效果-每秒, 獲得遊戲幣,數值填獲得量</v>
      </c>
      <c r="L56" t="str">
        <f t="shared" si="1"/>
        <v>TriggerEffect_Time_Fortune,</v>
      </c>
    </row>
    <row r="57" spans="1:12" ht="31.5" x14ac:dyDescent="0.25">
      <c r="A57" s="33" t="s">
        <v>585</v>
      </c>
      <c r="B57" s="34" t="s">
        <v>586</v>
      </c>
      <c r="K57" t="str">
        <f t="shared" si="2"/>
        <v>TriggerEffect_WaitTime_RestoreVigor= "TriggerEffect_WaitTime_RestoreVigor" // [Buffer]觸發效果-X秒後, 恢復體力,數值填5,10就是5秒後獲得10體力</v>
      </c>
      <c r="L57" t="str">
        <f t="shared" si="1"/>
        <v>TriggerEffect_WaitTime_RestoreVigor,</v>
      </c>
    </row>
    <row r="58" spans="1:12" ht="78.75" x14ac:dyDescent="0.25">
      <c r="A58" s="33" t="s">
        <v>589</v>
      </c>
      <c r="B58" s="34" t="s">
        <v>590</v>
      </c>
      <c r="K58" t="str">
        <f t="shared" ref="K58:K116" si="3">A58&amp;"= """ &amp; A58 &amp;""" // "&amp;SUBSTITUTE(B58, CHAR(10), ",")</f>
        <v>TriggerEffect_BattleResult_PermanentHp= "TriggerEffect_BattleResult_PermanentHp" // [Buffer]觸發效果-戰鬥結果觸發, 生命永久上升,數值填0,20代表戰鬥勝利時生命永久上升20,0為勝利,1為平手,2為戰敗</v>
      </c>
      <c r="L58" t="str">
        <f t="shared" si="1"/>
        <v>TriggerEffect_BattleResult_PermanentHp,</v>
      </c>
    </row>
    <row r="59" spans="1:12" ht="47.25" x14ac:dyDescent="0.25">
      <c r="A59" s="33" t="s">
        <v>597</v>
      </c>
      <c r="B59" s="34" t="s">
        <v>607</v>
      </c>
      <c r="K59" t="str">
        <f t="shared" si="3"/>
        <v>TriggerEffect_SkillVigorBelow_ComboAttack= "TriggerEffect_SkillVigorBelow_ComboAttack" // [Buffer]觸發條件-下一技能耗體在X以下(包含X)觸發, 獲得ComboAttack數, 移除此Buffer,數值填3,2代表技能消耗在3以下獲得2層ComboAttack</v>
      </c>
      <c r="L59" t="str">
        <f t="shared" si="1"/>
        <v>TriggerEffect_SkillVigorBelow_ComboAttack,</v>
      </c>
    </row>
    <row r="60" spans="1:12" x14ac:dyDescent="0.25">
      <c r="A60" s="33" t="s">
        <v>599</v>
      </c>
      <c r="B60" s="34" t="s">
        <v>608</v>
      </c>
      <c r="K60" t="str">
        <f t="shared" si="3"/>
        <v>TriggerEffect_FirstAttack_Dodge= "TriggerEffect_FirstAttack_Dodge" // [Buffer]觸發條件-比對手先攻, 迴避對手攻擊, 移除此Buffer</v>
      </c>
      <c r="L60" t="str">
        <f t="shared" si="1"/>
        <v>TriggerEffect_FirstAttack_Dodge,</v>
      </c>
    </row>
    <row r="61" spans="1:12" x14ac:dyDescent="0.25">
      <c r="A61" s="33"/>
      <c r="B61" s="33"/>
      <c r="K61" t="str">
        <f t="shared" si="3"/>
        <v xml:space="preserve">= "" // </v>
      </c>
      <c r="L61" t="str">
        <f t="shared" si="1"/>
        <v>,</v>
      </c>
    </row>
    <row r="62" spans="1:12" x14ac:dyDescent="0.25">
      <c r="A62" s="33"/>
      <c r="B62" s="33"/>
      <c r="K62" t="str">
        <f t="shared" si="3"/>
        <v xml:space="preserve">= "" // </v>
      </c>
      <c r="L62" t="str">
        <f t="shared" si="1"/>
        <v>,</v>
      </c>
    </row>
    <row r="63" spans="1:12" x14ac:dyDescent="0.25">
      <c r="A63" s="33"/>
      <c r="B63" s="33"/>
      <c r="K63" t="str">
        <f t="shared" si="3"/>
        <v xml:space="preserve">= "" // </v>
      </c>
      <c r="L63" t="str">
        <f t="shared" si="1"/>
        <v>,</v>
      </c>
    </row>
    <row r="64" spans="1:12" x14ac:dyDescent="0.25">
      <c r="A64" s="33"/>
      <c r="B64" s="33"/>
      <c r="K64" t="str">
        <f t="shared" si="3"/>
        <v xml:space="preserve">= "" // </v>
      </c>
      <c r="L64" t="str">
        <f t="shared" si="1"/>
        <v>,</v>
      </c>
    </row>
    <row r="65" spans="1:12" x14ac:dyDescent="0.25">
      <c r="A65" s="33"/>
      <c r="B65" s="33"/>
      <c r="K65" t="str">
        <f t="shared" si="3"/>
        <v xml:space="preserve">= "" // </v>
      </c>
      <c r="L65" t="str">
        <f t="shared" si="1"/>
        <v>,</v>
      </c>
    </row>
    <row r="66" spans="1:12" x14ac:dyDescent="0.25">
      <c r="A66" s="33"/>
      <c r="B66" s="33"/>
      <c r="K66" t="str">
        <f t="shared" si="3"/>
        <v xml:space="preserve">= "" // </v>
      </c>
      <c r="L66" t="str">
        <f t="shared" si="1"/>
        <v>,</v>
      </c>
    </row>
    <row r="67" spans="1:12" x14ac:dyDescent="0.25">
      <c r="A67" s="33"/>
      <c r="B67" s="33"/>
      <c r="K67" t="str">
        <f t="shared" si="3"/>
        <v xml:space="preserve">= "" // </v>
      </c>
      <c r="L67" t="str">
        <f t="shared" si="1"/>
        <v>,</v>
      </c>
    </row>
    <row r="68" spans="1:12" x14ac:dyDescent="0.25">
      <c r="A68" s="33"/>
      <c r="B68" s="33"/>
      <c r="K68" t="str">
        <f t="shared" si="3"/>
        <v xml:space="preserve">= "" // </v>
      </c>
      <c r="L68" t="str">
        <f t="shared" si="1"/>
        <v>,</v>
      </c>
    </row>
    <row r="69" spans="1:12" x14ac:dyDescent="0.25">
      <c r="A69" s="33"/>
      <c r="B69" s="33"/>
      <c r="K69" t="str">
        <f t="shared" si="3"/>
        <v xml:space="preserve">= "" // </v>
      </c>
      <c r="L69" t="str">
        <f t="shared" si="1"/>
        <v>,</v>
      </c>
    </row>
    <row r="70" spans="1:12" x14ac:dyDescent="0.25">
      <c r="A70" s="33"/>
      <c r="B70" s="33"/>
      <c r="K70" t="str">
        <f t="shared" si="3"/>
        <v xml:space="preserve">= "" // </v>
      </c>
      <c r="L70" t="str">
        <f t="shared" si="1"/>
        <v>,</v>
      </c>
    </row>
    <row r="71" spans="1:12" x14ac:dyDescent="0.25">
      <c r="A71" s="33"/>
      <c r="B71" s="33"/>
      <c r="K71" t="str">
        <f t="shared" si="3"/>
        <v xml:space="preserve">= "" // </v>
      </c>
      <c r="L71" t="str">
        <f t="shared" si="1"/>
        <v>,</v>
      </c>
    </row>
    <row r="72" spans="1:12" x14ac:dyDescent="0.25">
      <c r="A72" s="33"/>
      <c r="B72" s="33"/>
      <c r="K72" t="str">
        <f t="shared" si="3"/>
        <v xml:space="preserve">= "" // </v>
      </c>
      <c r="L72" t="str">
        <f t="shared" si="1"/>
        <v>,</v>
      </c>
    </row>
    <row r="73" spans="1:12" x14ac:dyDescent="0.25">
      <c r="A73" s="33"/>
      <c r="B73" s="33"/>
      <c r="K73" t="str">
        <f t="shared" si="3"/>
        <v xml:space="preserve">= "" // </v>
      </c>
      <c r="L73" t="str">
        <f t="shared" si="1"/>
        <v>,</v>
      </c>
    </row>
    <row r="74" spans="1:12" x14ac:dyDescent="0.25">
      <c r="A74" s="33"/>
      <c r="B74" s="33"/>
      <c r="K74" t="str">
        <f t="shared" si="3"/>
        <v xml:space="preserve">= "" // </v>
      </c>
      <c r="L74" t="str">
        <f t="shared" si="1"/>
        <v>,</v>
      </c>
    </row>
    <row r="75" spans="1:12" x14ac:dyDescent="0.25">
      <c r="A75" s="33"/>
      <c r="B75" s="33"/>
      <c r="K75" t="str">
        <f t="shared" si="3"/>
        <v xml:space="preserve">= "" // </v>
      </c>
      <c r="L75" t="str">
        <f t="shared" si="1"/>
        <v>,</v>
      </c>
    </row>
    <row r="76" spans="1:12" x14ac:dyDescent="0.25">
      <c r="A76" s="33"/>
      <c r="B76" s="33"/>
      <c r="K76" t="str">
        <f t="shared" si="3"/>
        <v xml:space="preserve">= "" // </v>
      </c>
      <c r="L76" t="str">
        <f t="shared" ref="L76:L116" si="4">A76&amp;","</f>
        <v>,</v>
      </c>
    </row>
    <row r="77" spans="1:12" x14ac:dyDescent="0.25">
      <c r="A77" s="33"/>
      <c r="B77" s="33"/>
      <c r="K77" t="str">
        <f t="shared" si="3"/>
        <v xml:space="preserve">= "" // </v>
      </c>
      <c r="L77" t="str">
        <f t="shared" si="4"/>
        <v>,</v>
      </c>
    </row>
    <row r="78" spans="1:12" x14ac:dyDescent="0.25">
      <c r="A78" s="33"/>
      <c r="B78" s="33"/>
      <c r="K78" t="str">
        <f t="shared" si="3"/>
        <v xml:space="preserve">= "" // </v>
      </c>
      <c r="L78" t="str">
        <f t="shared" si="4"/>
        <v>,</v>
      </c>
    </row>
    <row r="79" spans="1:12" x14ac:dyDescent="0.25">
      <c r="A79" s="33"/>
      <c r="B79" s="33"/>
      <c r="K79" t="str">
        <f t="shared" si="3"/>
        <v xml:space="preserve">= "" // </v>
      </c>
      <c r="L79" t="str">
        <f t="shared" si="4"/>
        <v>,</v>
      </c>
    </row>
    <row r="80" spans="1:12" x14ac:dyDescent="0.25">
      <c r="A80" s="33"/>
      <c r="B80" s="33"/>
      <c r="K80" t="str">
        <f t="shared" si="3"/>
        <v xml:space="preserve">= "" // </v>
      </c>
      <c r="L80" t="str">
        <f t="shared" si="4"/>
        <v>,</v>
      </c>
    </row>
    <row r="81" spans="1:12" x14ac:dyDescent="0.25">
      <c r="A81" s="33"/>
      <c r="B81" s="33"/>
      <c r="K81" t="str">
        <f t="shared" si="3"/>
        <v xml:space="preserve">= "" // </v>
      </c>
      <c r="L81" t="str">
        <f t="shared" si="4"/>
        <v>,</v>
      </c>
    </row>
    <row r="82" spans="1:12" x14ac:dyDescent="0.25">
      <c r="A82" s="33"/>
      <c r="B82" s="33"/>
      <c r="K82" t="str">
        <f t="shared" si="3"/>
        <v xml:space="preserve">= "" // </v>
      </c>
      <c r="L82" t="str">
        <f t="shared" si="4"/>
        <v>,</v>
      </c>
    </row>
    <row r="83" spans="1:12" x14ac:dyDescent="0.25">
      <c r="A83" s="33"/>
      <c r="B83" s="33"/>
      <c r="K83" t="str">
        <f t="shared" si="3"/>
        <v xml:space="preserve">= "" // </v>
      </c>
      <c r="L83" t="str">
        <f t="shared" si="4"/>
        <v>,</v>
      </c>
    </row>
    <row r="84" spans="1:12" x14ac:dyDescent="0.25">
      <c r="A84" s="33"/>
      <c r="B84" s="33"/>
      <c r="K84" t="str">
        <f t="shared" si="3"/>
        <v xml:space="preserve">= "" // </v>
      </c>
      <c r="L84" t="str">
        <f t="shared" si="4"/>
        <v>,</v>
      </c>
    </row>
    <row r="85" spans="1:12" x14ac:dyDescent="0.25">
      <c r="A85" s="33"/>
      <c r="B85" s="33"/>
      <c r="K85" t="str">
        <f t="shared" si="3"/>
        <v xml:space="preserve">= "" // </v>
      </c>
      <c r="L85" t="str">
        <f t="shared" si="4"/>
        <v>,</v>
      </c>
    </row>
    <row r="86" spans="1:12" x14ac:dyDescent="0.25">
      <c r="A86" s="33"/>
      <c r="B86" s="33"/>
      <c r="K86" t="str">
        <f t="shared" si="3"/>
        <v xml:space="preserve">= "" // </v>
      </c>
      <c r="L86" t="str">
        <f t="shared" si="4"/>
        <v>,</v>
      </c>
    </row>
    <row r="87" spans="1:12" x14ac:dyDescent="0.25">
      <c r="A87" s="33"/>
      <c r="B87" s="33"/>
      <c r="K87" t="str">
        <f t="shared" si="3"/>
        <v xml:space="preserve">= "" // </v>
      </c>
      <c r="L87" t="str">
        <f t="shared" si="4"/>
        <v>,</v>
      </c>
    </row>
    <row r="88" spans="1:12" x14ac:dyDescent="0.25">
      <c r="A88" s="33"/>
      <c r="B88" s="33"/>
      <c r="K88" t="str">
        <f t="shared" si="3"/>
        <v xml:space="preserve">= "" // </v>
      </c>
      <c r="L88" t="str">
        <f t="shared" si="4"/>
        <v>,</v>
      </c>
    </row>
    <row r="89" spans="1:12" x14ac:dyDescent="0.25">
      <c r="A89" s="33"/>
      <c r="B89" s="33"/>
      <c r="K89" t="str">
        <f t="shared" si="3"/>
        <v xml:space="preserve">= "" // </v>
      </c>
      <c r="L89" t="str">
        <f t="shared" si="4"/>
        <v>,</v>
      </c>
    </row>
    <row r="90" spans="1:12" x14ac:dyDescent="0.25">
      <c r="A90" s="33"/>
      <c r="B90" s="33"/>
      <c r="K90" t="str">
        <f t="shared" si="3"/>
        <v xml:space="preserve">= "" // </v>
      </c>
      <c r="L90" t="str">
        <f t="shared" si="4"/>
        <v>,</v>
      </c>
    </row>
    <row r="91" spans="1:12" x14ac:dyDescent="0.25">
      <c r="A91" s="33"/>
      <c r="B91" s="33"/>
      <c r="K91" t="str">
        <f t="shared" si="3"/>
        <v xml:space="preserve">= "" // </v>
      </c>
      <c r="L91" t="str">
        <f t="shared" si="4"/>
        <v>,</v>
      </c>
    </row>
    <row r="92" spans="1:12" x14ac:dyDescent="0.25">
      <c r="A92" s="33"/>
      <c r="B92" s="33"/>
      <c r="K92" t="str">
        <f t="shared" si="3"/>
        <v xml:space="preserve">= "" // </v>
      </c>
      <c r="L92" t="str">
        <f t="shared" si="4"/>
        <v>,</v>
      </c>
    </row>
    <row r="93" spans="1:12" x14ac:dyDescent="0.25">
      <c r="A93" s="33"/>
      <c r="B93" s="33"/>
      <c r="K93" t="str">
        <f t="shared" si="3"/>
        <v xml:space="preserve">= "" // </v>
      </c>
      <c r="L93" t="str">
        <f t="shared" si="4"/>
        <v>,</v>
      </c>
    </row>
    <row r="94" spans="1:12" x14ac:dyDescent="0.25">
      <c r="A94" s="33"/>
      <c r="B94" s="33"/>
      <c r="K94" t="str">
        <f t="shared" si="3"/>
        <v xml:space="preserve">= "" // </v>
      </c>
      <c r="L94" t="str">
        <f t="shared" si="4"/>
        <v>,</v>
      </c>
    </row>
    <row r="95" spans="1:12" x14ac:dyDescent="0.25">
      <c r="A95" s="33"/>
      <c r="B95" s="33"/>
      <c r="K95" t="str">
        <f t="shared" si="3"/>
        <v xml:space="preserve">= "" // </v>
      </c>
      <c r="L95" t="str">
        <f t="shared" si="4"/>
        <v>,</v>
      </c>
    </row>
    <row r="96" spans="1:12" x14ac:dyDescent="0.25">
      <c r="A96" s="33"/>
      <c r="B96" s="33"/>
      <c r="K96" t="str">
        <f t="shared" si="3"/>
        <v xml:space="preserve">= "" // </v>
      </c>
      <c r="L96" t="str">
        <f t="shared" si="4"/>
        <v>,</v>
      </c>
    </row>
    <row r="97" spans="1:12" x14ac:dyDescent="0.25">
      <c r="A97" s="33"/>
      <c r="B97" s="33"/>
      <c r="K97" t="str">
        <f t="shared" si="3"/>
        <v xml:space="preserve">= "" // </v>
      </c>
      <c r="L97" t="str">
        <f t="shared" si="4"/>
        <v>,</v>
      </c>
    </row>
    <row r="98" spans="1:12" x14ac:dyDescent="0.25">
      <c r="A98" s="33"/>
      <c r="B98" s="33"/>
      <c r="K98" t="str">
        <f t="shared" si="3"/>
        <v xml:space="preserve">= "" // </v>
      </c>
      <c r="L98" t="str">
        <f t="shared" si="4"/>
        <v>,</v>
      </c>
    </row>
    <row r="99" spans="1:12" x14ac:dyDescent="0.25">
      <c r="A99" s="33"/>
      <c r="B99" s="33"/>
      <c r="K99" t="str">
        <f t="shared" si="3"/>
        <v xml:space="preserve">= "" // </v>
      </c>
      <c r="L99" t="str">
        <f t="shared" si="4"/>
        <v>,</v>
      </c>
    </row>
    <row r="100" spans="1:12" x14ac:dyDescent="0.25">
      <c r="A100" s="33"/>
      <c r="B100" s="33"/>
      <c r="K100" t="str">
        <f t="shared" si="3"/>
        <v xml:space="preserve">= "" // </v>
      </c>
      <c r="L100" t="str">
        <f t="shared" si="4"/>
        <v>,</v>
      </c>
    </row>
    <row r="101" spans="1:12" x14ac:dyDescent="0.25">
      <c r="A101" s="33"/>
      <c r="B101" s="33"/>
      <c r="K101" t="str">
        <f t="shared" si="3"/>
        <v xml:space="preserve">= "" // </v>
      </c>
      <c r="L101" t="str">
        <f t="shared" si="4"/>
        <v>,</v>
      </c>
    </row>
    <row r="102" spans="1:12" x14ac:dyDescent="0.25">
      <c r="A102" s="33"/>
      <c r="B102" s="33"/>
      <c r="K102" t="str">
        <f t="shared" si="3"/>
        <v xml:space="preserve">= "" // </v>
      </c>
      <c r="L102" t="str">
        <f t="shared" si="4"/>
        <v>,</v>
      </c>
    </row>
    <row r="103" spans="1:12" x14ac:dyDescent="0.25">
      <c r="A103" s="33"/>
      <c r="B103" s="33"/>
      <c r="K103" t="str">
        <f t="shared" si="3"/>
        <v xml:space="preserve">= "" // </v>
      </c>
      <c r="L103" t="str">
        <f t="shared" si="4"/>
        <v>,</v>
      </c>
    </row>
    <row r="104" spans="1:12" x14ac:dyDescent="0.25">
      <c r="A104" s="33"/>
      <c r="B104" s="33"/>
      <c r="K104" t="str">
        <f t="shared" si="3"/>
        <v xml:space="preserve">= "" // </v>
      </c>
      <c r="L104" t="str">
        <f t="shared" si="4"/>
        <v>,</v>
      </c>
    </row>
    <row r="105" spans="1:12" x14ac:dyDescent="0.25">
      <c r="A105" s="33"/>
      <c r="B105" s="33"/>
      <c r="K105" t="str">
        <f t="shared" si="3"/>
        <v xml:space="preserve">= "" // </v>
      </c>
      <c r="L105" t="str">
        <f t="shared" si="4"/>
        <v>,</v>
      </c>
    </row>
    <row r="106" spans="1:12" x14ac:dyDescent="0.25">
      <c r="A106" s="33"/>
      <c r="B106" s="33"/>
      <c r="K106" t="str">
        <f t="shared" si="3"/>
        <v xml:space="preserve">= "" // </v>
      </c>
      <c r="L106" t="str">
        <f t="shared" si="4"/>
        <v>,</v>
      </c>
    </row>
    <row r="107" spans="1:12" x14ac:dyDescent="0.25">
      <c r="A107" s="33"/>
      <c r="B107" s="33"/>
      <c r="K107" t="str">
        <f t="shared" si="3"/>
        <v xml:space="preserve">= "" // </v>
      </c>
      <c r="L107" t="str">
        <f t="shared" si="4"/>
        <v>,</v>
      </c>
    </row>
    <row r="108" spans="1:12" x14ac:dyDescent="0.25">
      <c r="K108" t="str">
        <f t="shared" si="3"/>
        <v xml:space="preserve">= "" // </v>
      </c>
      <c r="L108" t="str">
        <f t="shared" si="4"/>
        <v>,</v>
      </c>
    </row>
    <row r="109" spans="1:12" x14ac:dyDescent="0.25">
      <c r="K109" t="str">
        <f t="shared" si="3"/>
        <v xml:space="preserve">= "" // </v>
      </c>
      <c r="L109" t="str">
        <f t="shared" si="4"/>
        <v>,</v>
      </c>
    </row>
    <row r="110" spans="1:12" x14ac:dyDescent="0.25">
      <c r="K110" t="str">
        <f t="shared" si="3"/>
        <v xml:space="preserve">= "" // </v>
      </c>
      <c r="L110" t="str">
        <f t="shared" si="4"/>
        <v>,</v>
      </c>
    </row>
    <row r="111" spans="1:12" x14ac:dyDescent="0.25">
      <c r="K111" t="str">
        <f t="shared" si="3"/>
        <v xml:space="preserve">= "" // </v>
      </c>
      <c r="L111" t="str">
        <f t="shared" si="4"/>
        <v>,</v>
      </c>
    </row>
    <row r="112" spans="1:12" x14ac:dyDescent="0.25">
      <c r="K112" t="str">
        <f t="shared" si="3"/>
        <v xml:space="preserve">= "" // </v>
      </c>
      <c r="L112" t="str">
        <f t="shared" si="4"/>
        <v>,</v>
      </c>
    </row>
    <row r="113" spans="11:12" x14ac:dyDescent="0.25">
      <c r="K113" t="str">
        <f t="shared" si="3"/>
        <v xml:space="preserve">= "" // </v>
      </c>
      <c r="L113" t="str">
        <f t="shared" si="4"/>
        <v>,</v>
      </c>
    </row>
    <row r="114" spans="11:12" x14ac:dyDescent="0.25">
      <c r="K114" t="str">
        <f t="shared" si="3"/>
        <v xml:space="preserve">= "" // </v>
      </c>
      <c r="L114" t="str">
        <f t="shared" si="4"/>
        <v>,</v>
      </c>
    </row>
    <row r="115" spans="11:12" x14ac:dyDescent="0.25">
      <c r="K115" t="str">
        <f t="shared" si="3"/>
        <v xml:space="preserve">= "" // </v>
      </c>
      <c r="L115" t="str">
        <f t="shared" si="4"/>
        <v>,</v>
      </c>
    </row>
    <row r="116" spans="11:12" x14ac:dyDescent="0.25">
      <c r="K116" t="str">
        <f t="shared" si="3"/>
        <v xml:space="preserve">= "" // </v>
      </c>
      <c r="L116" t="str">
        <f t="shared" si="4"/>
        <v>,</v>
      </c>
    </row>
  </sheetData>
  <phoneticPr fontId="1" type="noConversion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具名範圍</vt:lpstr>
      </vt:variant>
      <vt:variant>
        <vt:i4>3</vt:i4>
      </vt:variant>
    </vt:vector>
  </HeadingPairs>
  <TitlesOfParts>
    <vt:vector size="9" baseType="lpstr">
      <vt:lpstr>Gladiator</vt:lpstr>
      <vt:lpstr>Skill</vt:lpstr>
      <vt:lpstr>SkillEffect</vt:lpstr>
      <vt:lpstr>Info</vt:lpstr>
      <vt:lpstr>效果文字生成設定</vt:lpstr>
      <vt:lpstr>Setting</vt:lpstr>
      <vt:lpstr>目標文字</vt:lpstr>
      <vt:lpstr>其他文字</vt:lpstr>
      <vt:lpstr>效果文字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GameFactory</dc:creator>
  <cp:lastModifiedBy>孟璋 林</cp:lastModifiedBy>
  <dcterms:created xsi:type="dcterms:W3CDTF">2015-06-05T18:19:34Z</dcterms:created>
  <dcterms:modified xsi:type="dcterms:W3CDTF">2024-10-28T19:47:31Z</dcterms:modified>
</cp:coreProperties>
</file>